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chenlandwater.sharepoint.com/Shared Documents/Projects/20240007_Atlas Process (GRMW)/04_Analysis/Fish Use Score Updates/"/>
    </mc:Choice>
  </mc:AlternateContent>
  <xr:revisionPtr revIDLastSave="352" documentId="8_{A35F3C96-1814-4CC4-A2E6-1EFE3FC1917D}" xr6:coauthVersionLast="47" xr6:coauthVersionMax="47" xr10:uidLastSave="{08EEFBE9-0738-4471-A2A2-4FE650D628D9}"/>
  <bookViews>
    <workbookView xWindow="-23136" yWindow="600" windowWidth="23232" windowHeight="13872" firstSheet="1" activeTab="2" xr2:uid="{C64114D2-1330-4B94-B05B-7575C36C9CAD}"/>
  </bookViews>
  <sheets>
    <sheet name="Rank Comparison" sheetId="8" r:id="rId1"/>
    <sheet name="Fish Use Scores - Normalized" sheetId="7" r:id="rId2"/>
    <sheet name="Normalized Score Calculator" sheetId="6" r:id="rId3"/>
    <sheet name="Chinook" sheetId="2" r:id="rId4"/>
    <sheet name="Steelhead" sheetId="3" r:id="rId5"/>
    <sheet name="Bull Trout" sheetId="4" r:id="rId6"/>
    <sheet name="Migration Score Calcs" sheetId="5" r:id="rId7"/>
  </sheets>
  <definedNames>
    <definedName name="_xlchart.v1.0" hidden="1">'Fish Use Scores - Normalized'!$H$2:$H$30</definedName>
    <definedName name="_xlchart.v1.1" hidden="1">'Fish Use Scores - Normalized'!$C$2:$C$30</definedName>
    <definedName name="_xlchart.v1.2" hidden="1">'Fish Use Scores - Normalized'!$D$2:$D$30</definedName>
    <definedName name="_xlchart.v1.3" hidden="1">'Fish Use Scores - Normalized'!$E$2:$E$30</definedName>
    <definedName name="_xlchart.v1.4" hidden="1">'Migration Score Calcs'!$F$1</definedName>
    <definedName name="_xlchart.v1.5" hidden="1">'Migration Score Calcs'!$F$2:$F$30</definedName>
    <definedName name="_xlchart.v1.6" hidden="1">'Migration Score Calcs'!$E$1</definedName>
    <definedName name="_xlchart.v1.7" hidden="1">'Migration Score Calcs'!$E$2:$E$30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7" l="1"/>
  <c r="C2" i="7"/>
  <c r="B24" i="6"/>
  <c r="B40" i="6" s="1"/>
  <c r="L10" i="3"/>
  <c r="K7" i="2"/>
  <c r="K6" i="2"/>
  <c r="K5" i="2"/>
  <c r="F21" i="6"/>
  <c r="D22" i="6"/>
  <c r="F49" i="6"/>
  <c r="F48" i="6"/>
  <c r="F47" i="6"/>
  <c r="D3" i="7"/>
  <c r="D4" i="7"/>
  <c r="D5" i="7"/>
  <c r="D6" i="7"/>
  <c r="D7" i="7"/>
  <c r="D8" i="7"/>
  <c r="D9" i="7"/>
  <c r="D10" i="7"/>
  <c r="D2" i="7"/>
  <c r="C12" i="7"/>
  <c r="C13" i="7"/>
  <c r="C14" i="7"/>
  <c r="C15" i="7"/>
  <c r="C16" i="7"/>
  <c r="C17" i="7"/>
  <c r="C11" i="7"/>
  <c r="C3" i="7"/>
  <c r="C4" i="7"/>
  <c r="C5" i="7"/>
  <c r="C6" i="7"/>
  <c r="C7" i="7"/>
  <c r="C8" i="7"/>
  <c r="C9" i="7"/>
  <c r="C10" i="7"/>
  <c r="B14" i="6"/>
  <c r="H38" i="6"/>
  <c r="B3" i="6"/>
  <c r="P3" i="6"/>
  <c r="I3" i="6" l="1"/>
  <c r="D16" i="6"/>
  <c r="F16" i="6"/>
  <c r="J16" i="6"/>
  <c r="G47" i="6" s="1"/>
  <c r="L16" i="6"/>
  <c r="G48" i="6" s="1"/>
  <c r="N16" i="6"/>
  <c r="G49" i="6" s="1"/>
  <c r="R16" i="6"/>
  <c r="J47" i="6" s="1"/>
  <c r="T16" i="6"/>
  <c r="J48" i="6" s="1"/>
  <c r="B41" i="6"/>
  <c r="I10" i="6"/>
  <c r="D40" i="6"/>
  <c r="F40" i="6"/>
  <c r="H40" i="6"/>
  <c r="J40" i="6"/>
  <c r="L40" i="6"/>
  <c r="N40" i="6"/>
  <c r="P40" i="6"/>
  <c r="R40" i="6"/>
  <c r="T40" i="6"/>
  <c r="J19" i="6"/>
  <c r="L19" i="6"/>
  <c r="N19" i="6"/>
  <c r="P19" i="6"/>
  <c r="I4" i="6"/>
  <c r="I5" i="6"/>
  <c r="I6" i="6"/>
  <c r="I7" i="6"/>
  <c r="I8" i="6"/>
  <c r="I9" i="6"/>
  <c r="T3" i="6"/>
  <c r="J3" i="6"/>
  <c r="H19" i="6"/>
  <c r="H3" i="6"/>
  <c r="D3" i="6"/>
  <c r="D3" i="5"/>
  <c r="C3" i="5"/>
  <c r="F3" i="8"/>
  <c r="F4" i="8"/>
  <c r="F7" i="8"/>
  <c r="F8" i="8"/>
  <c r="F9" i="8"/>
  <c r="F10" i="8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12" i="8"/>
  <c r="Q23" i="6" l="1"/>
  <c r="J43" i="6"/>
  <c r="G54" i="6" s="1"/>
  <c r="C35" i="6"/>
  <c r="C24" i="6"/>
  <c r="Q22" i="6"/>
  <c r="I34" i="6"/>
  <c r="I32" i="6"/>
  <c r="Q30" i="6"/>
  <c r="Q21" i="6"/>
  <c r="I33" i="6"/>
  <c r="I26" i="6"/>
  <c r="I36" i="6"/>
  <c r="I35" i="6"/>
  <c r="Q20" i="6"/>
  <c r="Q19" i="6"/>
  <c r="Q38" i="6"/>
  <c r="I29" i="6"/>
  <c r="I28" i="6"/>
  <c r="I27" i="6"/>
  <c r="Q34" i="6"/>
  <c r="I25" i="6"/>
  <c r="Q32" i="6"/>
  <c r="Q31" i="6"/>
  <c r="M19" i="6"/>
  <c r="Q29" i="6"/>
  <c r="I20" i="6"/>
  <c r="K19" i="6"/>
  <c r="D11" i="7" s="1"/>
  <c r="Q26" i="6"/>
  <c r="Q25" i="6"/>
  <c r="I38" i="6"/>
  <c r="Q24" i="6"/>
  <c r="I31" i="6"/>
  <c r="I30" i="6"/>
  <c r="Q37" i="6"/>
  <c r="Q36" i="6"/>
  <c r="Q35" i="6"/>
  <c r="Q33" i="6"/>
  <c r="I24" i="6"/>
  <c r="O19" i="6"/>
  <c r="I23" i="6"/>
  <c r="I22" i="6"/>
  <c r="I21" i="6"/>
  <c r="Q28" i="6"/>
  <c r="Q27" i="6"/>
  <c r="I19" i="6"/>
  <c r="I37" i="6"/>
  <c r="I11" i="6"/>
  <c r="G15" i="8"/>
  <c r="G26" i="8"/>
  <c r="G22" i="8"/>
  <c r="G19" i="8"/>
  <c r="G11" i="8"/>
  <c r="G10" i="8"/>
  <c r="G31" i="8"/>
  <c r="G9" i="8"/>
  <c r="G27" i="8"/>
  <c r="G25" i="8"/>
  <c r="G23" i="8"/>
  <c r="G20" i="8"/>
  <c r="G8" i="8"/>
  <c r="G29" i="8"/>
  <c r="G7" i="8"/>
  <c r="G24" i="8"/>
  <c r="G21" i="8"/>
  <c r="G18" i="8"/>
  <c r="G12" i="8"/>
  <c r="G30" i="8"/>
  <c r="G28" i="8"/>
  <c r="G4" i="8"/>
  <c r="G14" i="8"/>
  <c r="G16" i="8"/>
  <c r="G13" i="8"/>
  <c r="G3" i="8"/>
  <c r="G17" i="8"/>
  <c r="I40" i="6" l="1"/>
  <c r="Q40" i="6"/>
  <c r="I13" i="6"/>
  <c r="T4" i="6"/>
  <c r="T5" i="6"/>
  <c r="T6" i="6"/>
  <c r="T7" i="6"/>
  <c r="T8" i="6"/>
  <c r="T9" i="6"/>
  <c r="T10" i="6"/>
  <c r="T11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R3" i="6"/>
  <c r="R4" i="6"/>
  <c r="R5" i="6"/>
  <c r="R6" i="6"/>
  <c r="R7" i="6"/>
  <c r="R8" i="6"/>
  <c r="R9" i="6"/>
  <c r="R10" i="6"/>
  <c r="R11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N4" i="6"/>
  <c r="N5" i="6"/>
  <c r="N6" i="6"/>
  <c r="N7" i="6"/>
  <c r="N8" i="6"/>
  <c r="N9" i="6"/>
  <c r="N10" i="6"/>
  <c r="N11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" i="6"/>
  <c r="L4" i="6"/>
  <c r="L5" i="6"/>
  <c r="L6" i="6"/>
  <c r="L7" i="6"/>
  <c r="L8" i="6"/>
  <c r="L9" i="6"/>
  <c r="L10" i="6"/>
  <c r="L11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" i="6"/>
  <c r="J4" i="6"/>
  <c r="J5" i="6"/>
  <c r="J6" i="6"/>
  <c r="J7" i="6"/>
  <c r="J8" i="6"/>
  <c r="J9" i="6"/>
  <c r="J10" i="6"/>
  <c r="J11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O46" i="6"/>
  <c r="O45" i="6"/>
  <c r="F4" i="6"/>
  <c r="F5" i="6"/>
  <c r="F6" i="6"/>
  <c r="F7" i="6"/>
  <c r="F8" i="6"/>
  <c r="F9" i="6"/>
  <c r="F10" i="6"/>
  <c r="F11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" i="6"/>
  <c r="D4" i="6"/>
  <c r="D5" i="6"/>
  <c r="D6" i="6"/>
  <c r="D7" i="6"/>
  <c r="D8" i="6"/>
  <c r="D9" i="6"/>
  <c r="D10" i="6"/>
  <c r="D11" i="6"/>
  <c r="D19" i="6"/>
  <c r="D20" i="6"/>
  <c r="D21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B4" i="6"/>
  <c r="B5" i="6"/>
  <c r="B6" i="6"/>
  <c r="B7" i="6"/>
  <c r="B8" i="6"/>
  <c r="B9" i="6"/>
  <c r="B10" i="6"/>
  <c r="B11" i="6"/>
  <c r="B19" i="6"/>
  <c r="B20" i="6"/>
  <c r="B21" i="6"/>
  <c r="B22" i="6"/>
  <c r="B23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13" i="6" l="1"/>
  <c r="B16" i="6" s="1"/>
  <c r="J13" i="6"/>
  <c r="L13" i="6"/>
  <c r="D13" i="6"/>
  <c r="R13" i="6"/>
  <c r="F13" i="6"/>
  <c r="N13" i="6"/>
  <c r="T13" i="6"/>
  <c r="M4" i="6" l="1"/>
  <c r="M9" i="6"/>
  <c r="U36" i="6"/>
  <c r="C8" i="6"/>
  <c r="U9" i="6"/>
  <c r="C6" i="6"/>
  <c r="M8" i="6"/>
  <c r="E8" i="6"/>
  <c r="U11" i="6"/>
  <c r="C7" i="6"/>
  <c r="E11" i="6"/>
  <c r="O22" i="6"/>
  <c r="O5" i="6"/>
  <c r="O6" i="6"/>
  <c r="O7" i="6"/>
  <c r="G3" i="6"/>
  <c r="C10" i="6"/>
  <c r="U3" i="6"/>
  <c r="M6" i="6"/>
  <c r="O11" i="6"/>
  <c r="O3" i="6"/>
  <c r="E10" i="6"/>
  <c r="C4" i="6"/>
  <c r="G11" i="6"/>
  <c r="U5" i="6"/>
  <c r="K3" i="6"/>
  <c r="M7" i="6"/>
  <c r="C5" i="6"/>
  <c r="E7" i="6"/>
  <c r="S4" i="6"/>
  <c r="S6" i="6"/>
  <c r="C9" i="6"/>
  <c r="S3" i="6"/>
  <c r="C3" i="6"/>
  <c r="S10" i="6"/>
  <c r="C11" i="6"/>
  <c r="K6" i="6"/>
  <c r="K4" i="6"/>
  <c r="K10" i="6"/>
  <c r="G6" i="6"/>
  <c r="E3" i="6"/>
  <c r="O4" i="6"/>
  <c r="M5" i="6"/>
  <c r="S11" i="6"/>
  <c r="O8" i="6"/>
  <c r="O9" i="6"/>
  <c r="S5" i="6"/>
  <c r="G9" i="6"/>
  <c r="E6" i="6"/>
  <c r="K7" i="6"/>
  <c r="G10" i="6"/>
  <c r="S9" i="6"/>
  <c r="E4" i="6"/>
  <c r="K11" i="6"/>
  <c r="U8" i="6"/>
  <c r="M3" i="6"/>
  <c r="K8" i="6"/>
  <c r="K5" i="6"/>
  <c r="K9" i="6"/>
  <c r="U4" i="6"/>
  <c r="U7" i="6"/>
  <c r="S7" i="6"/>
  <c r="E9" i="6"/>
  <c r="S8" i="6"/>
  <c r="E7" i="7" s="1"/>
  <c r="M11" i="6"/>
  <c r="G4" i="6"/>
  <c r="U10" i="6"/>
  <c r="E5" i="6"/>
  <c r="G8" i="6"/>
  <c r="G5" i="6"/>
  <c r="O10" i="6"/>
  <c r="M10" i="6"/>
  <c r="G7" i="6"/>
  <c r="U6" i="6"/>
  <c r="S26" i="6"/>
  <c r="S28" i="6"/>
  <c r="S38" i="6"/>
  <c r="G32" i="6"/>
  <c r="E34" i="6"/>
  <c r="M28" i="6"/>
  <c r="O28" i="6"/>
  <c r="M21" i="6"/>
  <c r="B43" i="6"/>
  <c r="F54" i="6" s="1"/>
  <c r="M27" i="6"/>
  <c r="U22" i="6"/>
  <c r="G33" i="6"/>
  <c r="E26" i="6"/>
  <c r="S32" i="6"/>
  <c r="G34" i="6"/>
  <c r="U28" i="6"/>
  <c r="O36" i="6"/>
  <c r="K35" i="6"/>
  <c r="D27" i="7" s="1"/>
  <c r="M34" i="6"/>
  <c r="O37" i="6"/>
  <c r="S33" i="6"/>
  <c r="O35" i="6"/>
  <c r="E20" i="6"/>
  <c r="G21" i="6"/>
  <c r="C34" i="6"/>
  <c r="M22" i="6"/>
  <c r="E27" i="6"/>
  <c r="G28" i="6"/>
  <c r="O38" i="6"/>
  <c r="S20" i="6"/>
  <c r="S34" i="6"/>
  <c r="M36" i="6"/>
  <c r="S23" i="6"/>
  <c r="K38" i="6"/>
  <c r="D30" i="7" s="1"/>
  <c r="E28" i="6"/>
  <c r="M32" i="6"/>
  <c r="C20" i="6"/>
  <c r="G30" i="6"/>
  <c r="O23" i="6"/>
  <c r="S21" i="6"/>
  <c r="G36" i="6"/>
  <c r="E35" i="6"/>
  <c r="K34" i="6"/>
  <c r="D26" i="7" s="1"/>
  <c r="K29" i="6"/>
  <c r="D21" i="7" s="1"/>
  <c r="K23" i="6"/>
  <c r="D15" i="7" s="1"/>
  <c r="K24" i="6"/>
  <c r="D16" i="7" s="1"/>
  <c r="K28" i="6"/>
  <c r="D20" i="7" s="1"/>
  <c r="K22" i="6"/>
  <c r="D14" i="7" s="1"/>
  <c r="O29" i="6"/>
  <c r="K37" i="6"/>
  <c r="D29" i="7" s="1"/>
  <c r="T43" i="6"/>
  <c r="J55" i="6" s="1"/>
  <c r="U29" i="6"/>
  <c r="U30" i="6"/>
  <c r="U24" i="6"/>
  <c r="U20" i="6"/>
  <c r="U21" i="6"/>
  <c r="U19" i="6"/>
  <c r="U23" i="6"/>
  <c r="M37" i="6"/>
  <c r="S19" i="6"/>
  <c r="C33" i="6"/>
  <c r="K36" i="6"/>
  <c r="D28" i="7" s="1"/>
  <c r="K30" i="6"/>
  <c r="D22" i="7" s="1"/>
  <c r="U35" i="6"/>
  <c r="S27" i="6"/>
  <c r="E29" i="6"/>
  <c r="S35" i="6"/>
  <c r="O21" i="6"/>
  <c r="E36" i="6"/>
  <c r="S36" i="6"/>
  <c r="M29" i="6"/>
  <c r="U37" i="6"/>
  <c r="G20" i="6"/>
  <c r="E22" i="6"/>
  <c r="S29" i="6"/>
  <c r="S22" i="6"/>
  <c r="G29" i="6"/>
  <c r="E38" i="6"/>
  <c r="C21" i="6"/>
  <c r="E31" i="6"/>
  <c r="R43" i="6"/>
  <c r="J54" i="6" s="1"/>
  <c r="E23" i="6"/>
  <c r="C25" i="6"/>
  <c r="S30" i="6"/>
  <c r="G31" i="6"/>
  <c r="M38" i="6"/>
  <c r="M26" i="6"/>
  <c r="O32" i="6"/>
  <c r="M31" i="6"/>
  <c r="D43" i="6"/>
  <c r="F56" i="6" s="1"/>
  <c r="O24" i="6"/>
  <c r="O33" i="6"/>
  <c r="K26" i="6"/>
  <c r="D18" i="7" s="1"/>
  <c r="K31" i="6"/>
  <c r="D23" i="7" s="1"/>
  <c r="K20" i="6"/>
  <c r="D12" i="7" s="1"/>
  <c r="M25" i="6"/>
  <c r="G37" i="6"/>
  <c r="E21" i="6"/>
  <c r="C36" i="6"/>
  <c r="E25" i="6"/>
  <c r="E32" i="6"/>
  <c r="E37" i="6"/>
  <c r="W37" i="6" s="1"/>
  <c r="E24" i="6"/>
  <c r="U31" i="6"/>
  <c r="E19" i="6"/>
  <c r="C37" i="6"/>
  <c r="S25" i="6"/>
  <c r="U33" i="6"/>
  <c r="U38" i="6"/>
  <c r="U25" i="6"/>
  <c r="S24" i="6"/>
  <c r="M30" i="6"/>
  <c r="G38" i="6"/>
  <c r="U27" i="6"/>
  <c r="G24" i="6"/>
  <c r="U32" i="6"/>
  <c r="K21" i="6"/>
  <c r="D13" i="7" s="1"/>
  <c r="K32" i="6"/>
  <c r="D24" i="7" s="1"/>
  <c r="O34" i="6"/>
  <c r="K27" i="6"/>
  <c r="D19" i="7" s="1"/>
  <c r="K25" i="6"/>
  <c r="D17" i="7" s="1"/>
  <c r="G25" i="6"/>
  <c r="G26" i="6"/>
  <c r="G27" i="6"/>
  <c r="G19" i="6"/>
  <c r="G22" i="6"/>
  <c r="G35" i="6"/>
  <c r="G23" i="6"/>
  <c r="F43" i="6"/>
  <c r="F55" i="6" s="1"/>
  <c r="S31" i="6"/>
  <c r="U34" i="6"/>
  <c r="E30" i="6"/>
  <c r="E33" i="6"/>
  <c r="O26" i="6"/>
  <c r="O27" i="6"/>
  <c r="O30" i="6"/>
  <c r="O25" i="6"/>
  <c r="O31" i="6"/>
  <c r="N43" i="6"/>
  <c r="G56" i="6" s="1"/>
  <c r="M35" i="6"/>
  <c r="M20" i="6"/>
  <c r="L43" i="6"/>
  <c r="G55" i="6" s="1"/>
  <c r="M23" i="6"/>
  <c r="M24" i="6"/>
  <c r="K33" i="6"/>
  <c r="D25" i="7" s="1"/>
  <c r="S37" i="6"/>
  <c r="M33" i="6"/>
  <c r="U26" i="6"/>
  <c r="O20" i="6"/>
  <c r="C31" i="6"/>
  <c r="C22" i="6"/>
  <c r="C26" i="6"/>
  <c r="C38" i="6"/>
  <c r="C27" i="6"/>
  <c r="C28" i="6"/>
  <c r="C29" i="6"/>
  <c r="C19" i="6"/>
  <c r="C30" i="6"/>
  <c r="C32" i="6"/>
  <c r="C23" i="6"/>
  <c r="W36" i="6" l="1"/>
  <c r="C40" i="6"/>
  <c r="W32" i="6"/>
  <c r="W34" i="6"/>
  <c r="W35" i="6"/>
  <c r="W38" i="6"/>
  <c r="W33" i="6"/>
  <c r="C25" i="7"/>
  <c r="W26" i="6"/>
  <c r="C19" i="7"/>
  <c r="W20" i="6"/>
  <c r="C26" i="7"/>
  <c r="W27" i="6"/>
  <c r="C27" i="7"/>
  <c r="W28" i="6"/>
  <c r="C28" i="7"/>
  <c r="W29" i="6"/>
  <c r="C21" i="7"/>
  <c r="W22" i="6"/>
  <c r="C30" i="7"/>
  <c r="W31" i="6"/>
  <c r="C22" i="7"/>
  <c r="W23" i="6"/>
  <c r="W21" i="6"/>
  <c r="C24" i="7"/>
  <c r="W25" i="6"/>
  <c r="W24" i="6"/>
  <c r="C23" i="7"/>
  <c r="C18" i="7"/>
  <c r="W19" i="6"/>
  <c r="W30" i="6"/>
  <c r="C29" i="7"/>
  <c r="E2" i="7"/>
  <c r="E40" i="6"/>
  <c r="G40" i="6"/>
  <c r="S40" i="6"/>
  <c r="U40" i="6"/>
  <c r="O40" i="6"/>
  <c r="M40" i="6"/>
  <c r="K40" i="6"/>
  <c r="E28" i="7"/>
  <c r="C13" i="6"/>
  <c r="U13" i="6"/>
  <c r="E15" i="7"/>
  <c r="G13" i="6"/>
  <c r="O13" i="6"/>
  <c r="K13" i="6"/>
  <c r="E11" i="7"/>
  <c r="M13" i="6"/>
  <c r="S13" i="6"/>
  <c r="E13" i="6"/>
  <c r="E20" i="7"/>
  <c r="E18" i="7"/>
  <c r="E27" i="7"/>
  <c r="E23" i="7"/>
  <c r="E3" i="7"/>
  <c r="E10" i="7"/>
  <c r="E24" i="7"/>
  <c r="E9" i="7"/>
  <c r="E21" i="7"/>
  <c r="E30" i="7"/>
  <c r="E26" i="7"/>
  <c r="E6" i="7"/>
  <c r="E12" i="7"/>
  <c r="E8" i="7"/>
  <c r="E5" i="7"/>
  <c r="E14" i="7"/>
  <c r="E22" i="7"/>
  <c r="E13" i="7"/>
  <c r="E17" i="7"/>
  <c r="E29" i="7"/>
  <c r="E19" i="7"/>
  <c r="E16" i="7"/>
  <c r="E25" i="7"/>
  <c r="E4" i="7"/>
  <c r="E3" i="5"/>
  <c r="H4" i="6" s="1"/>
  <c r="E4" i="5"/>
  <c r="H5" i="6" s="1"/>
  <c r="E5" i="5"/>
  <c r="H6" i="6" s="1"/>
  <c r="E6" i="5"/>
  <c r="H7" i="6" s="1"/>
  <c r="E7" i="5"/>
  <c r="H8" i="6" s="1"/>
  <c r="E8" i="5"/>
  <c r="H9" i="6" s="1"/>
  <c r="E9" i="5"/>
  <c r="H10" i="6" s="1"/>
  <c r="E10" i="5"/>
  <c r="H11" i="6" s="1"/>
  <c r="E11" i="5"/>
  <c r="E12" i="5"/>
  <c r="H20" i="6" s="1"/>
  <c r="E13" i="5"/>
  <c r="H21" i="6" s="1"/>
  <c r="E14" i="5"/>
  <c r="H22" i="6" s="1"/>
  <c r="E15" i="5"/>
  <c r="H23" i="6" s="1"/>
  <c r="E16" i="5"/>
  <c r="H24" i="6" s="1"/>
  <c r="E17" i="5"/>
  <c r="H25" i="6" s="1"/>
  <c r="E18" i="5"/>
  <c r="H26" i="6" s="1"/>
  <c r="E19" i="5"/>
  <c r="H27" i="6" s="1"/>
  <c r="E20" i="5"/>
  <c r="H28" i="6" s="1"/>
  <c r="E21" i="5"/>
  <c r="H29" i="6" s="1"/>
  <c r="E22" i="5"/>
  <c r="H30" i="6" s="1"/>
  <c r="E23" i="5"/>
  <c r="H31" i="6" s="1"/>
  <c r="E24" i="5"/>
  <c r="H32" i="6" s="1"/>
  <c r="E25" i="5"/>
  <c r="H33" i="6" s="1"/>
  <c r="E26" i="5"/>
  <c r="H34" i="6" s="1"/>
  <c r="E27" i="5"/>
  <c r="H35" i="6" s="1"/>
  <c r="E28" i="5"/>
  <c r="H36" i="6" s="1"/>
  <c r="E29" i="5"/>
  <c r="H37" i="6" s="1"/>
  <c r="E30" i="5"/>
  <c r="F3" i="5"/>
  <c r="P4" i="6" s="1"/>
  <c r="F4" i="5"/>
  <c r="P5" i="6" s="1"/>
  <c r="F5" i="5"/>
  <c r="P6" i="6" s="1"/>
  <c r="F6" i="5"/>
  <c r="P7" i="6" s="1"/>
  <c r="F7" i="5"/>
  <c r="P8" i="6" s="1"/>
  <c r="F8" i="5"/>
  <c r="P9" i="6" s="1"/>
  <c r="F9" i="5"/>
  <c r="P10" i="6" s="1"/>
  <c r="F10" i="5"/>
  <c r="P11" i="6" s="1"/>
  <c r="F11" i="5"/>
  <c r="F12" i="5"/>
  <c r="P20" i="6" s="1"/>
  <c r="F13" i="5"/>
  <c r="P21" i="6" s="1"/>
  <c r="F14" i="5"/>
  <c r="P22" i="6" s="1"/>
  <c r="F15" i="5"/>
  <c r="F16" i="5"/>
  <c r="F17" i="5"/>
  <c r="F18" i="5"/>
  <c r="F19" i="5"/>
  <c r="F20" i="5"/>
  <c r="F21" i="5"/>
  <c r="F22" i="5"/>
  <c r="F23" i="5"/>
  <c r="F24" i="5"/>
  <c r="F25" i="5"/>
  <c r="P33" i="6" s="1"/>
  <c r="F26" i="5"/>
  <c r="P34" i="6" s="1"/>
  <c r="F27" i="5"/>
  <c r="P35" i="6" s="1"/>
  <c r="F28" i="5"/>
  <c r="P36" i="6" s="1"/>
  <c r="F29" i="5"/>
  <c r="P37" i="6" s="1"/>
  <c r="F30" i="5"/>
  <c r="P38" i="6" s="1"/>
  <c r="L4" i="3"/>
  <c r="L5" i="3"/>
  <c r="L13" i="3"/>
  <c r="L14" i="3"/>
  <c r="L15" i="3"/>
  <c r="E31" i="7" l="1"/>
  <c r="H13" i="6"/>
  <c r="L12" i="3"/>
  <c r="L31" i="3"/>
  <c r="L22" i="3"/>
  <c r="P29" i="6"/>
  <c r="L21" i="3"/>
  <c r="P28" i="6"/>
  <c r="L18" i="3"/>
  <c r="P25" i="6"/>
  <c r="L17" i="3"/>
  <c r="P24" i="6"/>
  <c r="L16" i="3"/>
  <c r="P23" i="6"/>
  <c r="L9" i="3"/>
  <c r="L29" i="3"/>
  <c r="L28" i="3"/>
  <c r="L27" i="3"/>
  <c r="L23" i="3"/>
  <c r="P30" i="6"/>
  <c r="L20" i="3"/>
  <c r="P27" i="6"/>
  <c r="L30" i="3"/>
  <c r="L25" i="3"/>
  <c r="P32" i="6"/>
  <c r="L24" i="3"/>
  <c r="P31" i="6"/>
  <c r="L26" i="3"/>
  <c r="L19" i="3"/>
  <c r="P26" i="6"/>
  <c r="L11" i="3"/>
  <c r="L8" i="3"/>
  <c r="L7" i="3"/>
  <c r="L6" i="3"/>
  <c r="G47" i="4"/>
  <c r="D47" i="4"/>
  <c r="G46" i="4"/>
  <c r="D46" i="4"/>
  <c r="G45" i="4"/>
  <c r="D45" i="4"/>
  <c r="G44" i="4"/>
  <c r="D44" i="4"/>
  <c r="D45" i="3"/>
  <c r="J47" i="3"/>
  <c r="G47" i="3"/>
  <c r="D47" i="3"/>
  <c r="J46" i="3"/>
  <c r="G46" i="3"/>
  <c r="D46" i="3"/>
  <c r="J45" i="3"/>
  <c r="G45" i="3"/>
  <c r="J44" i="3"/>
  <c r="G44" i="3"/>
  <c r="D44" i="3"/>
  <c r="I46" i="2"/>
  <c r="I45" i="2"/>
  <c r="I44" i="2"/>
  <c r="I43" i="2"/>
  <c r="F46" i="2"/>
  <c r="F45" i="2"/>
  <c r="F44" i="2"/>
  <c r="F43" i="2"/>
  <c r="C46" i="2"/>
  <c r="C45" i="2"/>
  <c r="C44" i="2"/>
  <c r="C43" i="2"/>
  <c r="G44" i="2" l="1"/>
  <c r="J44" i="2"/>
  <c r="H46" i="3"/>
  <c r="K46" i="3"/>
  <c r="K47" i="3"/>
  <c r="K45" i="3"/>
  <c r="H45" i="3"/>
  <c r="H47" i="3"/>
  <c r="E45" i="3"/>
  <c r="H45" i="4"/>
  <c r="H46" i="4"/>
  <c r="H47" i="4"/>
  <c r="E45" i="4"/>
  <c r="E46" i="4"/>
  <c r="E47" i="4"/>
  <c r="E47" i="3"/>
  <c r="E46" i="3"/>
  <c r="J45" i="2"/>
  <c r="J46" i="2"/>
  <c r="G45" i="2"/>
  <c r="G46" i="2"/>
  <c r="D44" i="2"/>
  <c r="D45" i="2"/>
  <c r="D46" i="2"/>
  <c r="K4" i="2" l="1"/>
  <c r="E2" i="5"/>
  <c r="K3" i="2"/>
  <c r="K8" i="2"/>
  <c r="K9" i="2"/>
  <c r="K10" i="2"/>
  <c r="K17" i="2"/>
  <c r="K18" i="2"/>
  <c r="K19" i="2"/>
  <c r="K20" i="2"/>
  <c r="K21" i="2"/>
  <c r="K11" i="2"/>
  <c r="K12" i="2"/>
  <c r="K13" i="2"/>
  <c r="K14" i="2"/>
  <c r="K15" i="2"/>
  <c r="K16" i="2"/>
  <c r="K22" i="2"/>
  <c r="K23" i="2"/>
  <c r="K24" i="2"/>
  <c r="K25" i="2"/>
  <c r="K26" i="2"/>
  <c r="K27" i="2"/>
  <c r="K28" i="2"/>
  <c r="K29" i="2"/>
  <c r="K30" i="2"/>
  <c r="K31" i="2"/>
  <c r="F2" i="5"/>
  <c r="F21" i="7" l="1"/>
  <c r="F15" i="7"/>
  <c r="F13" i="7"/>
  <c r="F12" i="7"/>
  <c r="F11" i="7"/>
  <c r="F19" i="7"/>
  <c r="F18" i="7"/>
  <c r="F16" i="7"/>
  <c r="P13" i="6"/>
  <c r="L3" i="3"/>
  <c r="F30" i="7"/>
  <c r="F29" i="7"/>
  <c r="F28" i="7"/>
  <c r="F27" i="7"/>
  <c r="F26" i="7"/>
  <c r="F25" i="7"/>
  <c r="F24" i="7"/>
  <c r="F22" i="7"/>
  <c r="F14" i="7"/>
  <c r="F20" i="7"/>
  <c r="F17" i="7"/>
  <c r="F23" i="7"/>
  <c r="Q3" i="6" l="1"/>
  <c r="P16" i="6"/>
  <c r="Q11" i="6"/>
  <c r="Q9" i="6"/>
  <c r="Q7" i="6"/>
  <c r="Q5" i="6"/>
  <c r="Q4" i="6"/>
  <c r="Q8" i="6"/>
  <c r="Q10" i="6"/>
  <c r="Q6" i="6"/>
  <c r="H27" i="8"/>
  <c r="H17" i="8"/>
  <c r="H19" i="8"/>
  <c r="H24" i="8"/>
  <c r="H20" i="8"/>
  <c r="H21" i="8"/>
  <c r="H29" i="8"/>
  <c r="H12" i="8"/>
  <c r="H26" i="8"/>
  <c r="H28" i="8"/>
  <c r="H18" i="8"/>
  <c r="H15" i="8"/>
  <c r="H13" i="8"/>
  <c r="H23" i="8"/>
  <c r="H30" i="8"/>
  <c r="H14" i="8"/>
  <c r="H25" i="8"/>
  <c r="H31" i="8"/>
  <c r="H22" i="8"/>
  <c r="H16" i="8"/>
  <c r="M45" i="3"/>
  <c r="M47" i="3"/>
  <c r="M44" i="3"/>
  <c r="M46" i="3"/>
  <c r="F6" i="7" l="1"/>
  <c r="H7" i="8" s="1"/>
  <c r="W7" i="6"/>
  <c r="F2" i="7"/>
  <c r="W3" i="6"/>
  <c r="Q13" i="6"/>
  <c r="W6" i="6"/>
  <c r="F5" i="7"/>
  <c r="H6" i="8" s="1"/>
  <c r="W10" i="6"/>
  <c r="F9" i="7"/>
  <c r="H10" i="8" s="1"/>
  <c r="F7" i="7"/>
  <c r="H8" i="8" s="1"/>
  <c r="W8" i="6"/>
  <c r="W4" i="6"/>
  <c r="F3" i="7"/>
  <c r="H4" i="8" s="1"/>
  <c r="F4" i="7"/>
  <c r="H5" i="8" s="1"/>
  <c r="W5" i="6"/>
  <c r="F8" i="7"/>
  <c r="H9" i="8" s="1"/>
  <c r="W9" i="6"/>
  <c r="W11" i="6"/>
  <c r="F10" i="7"/>
  <c r="H11" i="8" s="1"/>
  <c r="N46" i="3"/>
  <c r="N47" i="3"/>
  <c r="N45" i="3"/>
  <c r="X11" i="6" l="1"/>
  <c r="D31" i="7"/>
  <c r="X9" i="6"/>
  <c r="X5" i="6"/>
  <c r="X4" i="6"/>
  <c r="X8" i="6"/>
  <c r="X10" i="6"/>
  <c r="X6" i="6"/>
  <c r="X29" i="6"/>
  <c r="X30" i="6"/>
  <c r="X3" i="6"/>
  <c r="X36" i="6"/>
  <c r="X23" i="6"/>
  <c r="X22" i="6"/>
  <c r="X19" i="6"/>
  <c r="X20" i="6"/>
  <c r="X37" i="6"/>
  <c r="X38" i="6"/>
  <c r="X34" i="6"/>
  <c r="X33" i="6"/>
  <c r="X32" i="6"/>
  <c r="X27" i="6"/>
  <c r="X28" i="6"/>
  <c r="X26" i="6"/>
  <c r="X21" i="6"/>
  <c r="X24" i="6"/>
  <c r="X35" i="6"/>
  <c r="X25" i="6"/>
  <c r="X31" i="6"/>
  <c r="X7" i="6"/>
  <c r="G2" i="7"/>
  <c r="G15" i="7"/>
  <c r="G5" i="7"/>
  <c r="G19" i="7"/>
  <c r="H3" i="8"/>
  <c r="I3" i="8" s="1"/>
  <c r="J3" i="8" s="1"/>
  <c r="G11" i="7"/>
  <c r="G23" i="7"/>
  <c r="G21" i="7"/>
  <c r="G10" i="7"/>
  <c r="G18" i="7"/>
  <c r="G30" i="7"/>
  <c r="G6" i="7"/>
  <c r="G4" i="7"/>
  <c r="G24" i="7"/>
  <c r="G27" i="7"/>
  <c r="G16" i="7"/>
  <c r="G13" i="7"/>
  <c r="G9" i="7"/>
  <c r="G8" i="7"/>
  <c r="G17" i="7"/>
  <c r="G26" i="7"/>
  <c r="G25" i="7"/>
  <c r="G12" i="7"/>
  <c r="G29" i="7"/>
  <c r="G28" i="7"/>
  <c r="G3" i="7"/>
  <c r="G7" i="7"/>
  <c r="G22" i="7"/>
  <c r="G20" i="7"/>
  <c r="G14" i="7"/>
  <c r="F35" i="7"/>
  <c r="F31" i="7"/>
  <c r="C32" i="7" s="1"/>
  <c r="H24" i="7" l="1"/>
  <c r="H3" i="7"/>
  <c r="H25" i="7"/>
  <c r="H4" i="7"/>
  <c r="H26" i="7"/>
  <c r="H5" i="7"/>
  <c r="H27" i="7"/>
  <c r="H6" i="7"/>
  <c r="H28" i="7"/>
  <c r="H7" i="7"/>
  <c r="H29" i="7"/>
  <c r="H8" i="7"/>
  <c r="H30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" i="7"/>
  <c r="I30" i="8"/>
  <c r="J30" i="8" s="1"/>
  <c r="I10" i="8"/>
  <c r="J10" i="8" s="1"/>
  <c r="I8" i="8"/>
  <c r="J8" i="8" s="1"/>
  <c r="I16" i="8"/>
  <c r="J16" i="8" s="1"/>
  <c r="I6" i="8"/>
  <c r="I24" i="8"/>
  <c r="J24" i="8" s="1"/>
  <c r="I22" i="8"/>
  <c r="J22" i="8" s="1"/>
  <c r="I11" i="8"/>
  <c r="J11" i="8" s="1"/>
  <c r="I26" i="8"/>
  <c r="J26" i="8" s="1"/>
  <c r="I9" i="8"/>
  <c r="J9" i="8" s="1"/>
  <c r="I23" i="8"/>
  <c r="J23" i="8" s="1"/>
  <c r="I20" i="8"/>
  <c r="J20" i="8" s="1"/>
  <c r="I13" i="8"/>
  <c r="J13" i="8" s="1"/>
  <c r="I31" i="8"/>
  <c r="J31" i="8" s="1"/>
  <c r="I15" i="8"/>
  <c r="J15" i="8" s="1"/>
  <c r="I12" i="8"/>
  <c r="J12" i="8" s="1"/>
  <c r="I21" i="8"/>
  <c r="J21" i="8" s="1"/>
  <c r="I19" i="8"/>
  <c r="J19" i="8" s="1"/>
  <c r="I29" i="8"/>
  <c r="J29" i="8" s="1"/>
  <c r="I25" i="8"/>
  <c r="J25" i="8" s="1"/>
  <c r="I28" i="8"/>
  <c r="J28" i="8" s="1"/>
  <c r="I5" i="8"/>
  <c r="I7" i="8"/>
  <c r="J7" i="8" s="1"/>
  <c r="I27" i="8"/>
  <c r="J27" i="8" s="1"/>
  <c r="I4" i="8"/>
  <c r="J4" i="8" s="1"/>
  <c r="I17" i="8"/>
  <c r="J17" i="8" s="1"/>
  <c r="I14" i="8"/>
  <c r="J14" i="8" s="1"/>
  <c r="I18" i="8"/>
  <c r="J18" i="8" s="1"/>
  <c r="E32" i="7"/>
  <c r="D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tc={607F9E30-3F44-4100-81EE-E04EB2221C62}</author>
  </authors>
  <commentList>
    <comment ref="O1" authorId="0" shapeId="0" xr:uid="{607F9E30-3F44-4100-81EE-E04EB2221C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same migration score as Steelhead Distribution. </t>
      </text>
    </comment>
  </commentList>
</comments>
</file>

<file path=xl/sharedStrings.xml><?xml version="1.0" encoding="utf-8"?>
<sst xmlns="http://schemas.openxmlformats.org/spreadsheetml/2006/main" count="852" uniqueCount="176">
  <si>
    <t>Spawning</t>
  </si>
  <si>
    <t>Summer Rearing</t>
  </si>
  <si>
    <t>Winter Rearing</t>
  </si>
  <si>
    <t>Migration</t>
  </si>
  <si>
    <t>Chinook</t>
  </si>
  <si>
    <t>Bull Trout</t>
  </si>
  <si>
    <t>Steelhead</t>
  </si>
  <si>
    <t>Population Level Score</t>
  </si>
  <si>
    <t>BSR</t>
  </si>
  <si>
    <t>Fish Use Score</t>
  </si>
  <si>
    <t>Species Weighting</t>
  </si>
  <si>
    <t>UGR1</t>
  </si>
  <si>
    <t>UGR2</t>
  </si>
  <si>
    <t>UGR3</t>
  </si>
  <si>
    <t>UGR4</t>
  </si>
  <si>
    <t>UGR5</t>
  </si>
  <si>
    <t>UGR6</t>
  </si>
  <si>
    <t>UGR7</t>
  </si>
  <si>
    <t>UGR8</t>
  </si>
  <si>
    <t>UGR9</t>
  </si>
  <si>
    <t>UGR10</t>
  </si>
  <si>
    <t>UGR11</t>
  </si>
  <si>
    <t>UGR12</t>
  </si>
  <si>
    <t>UGR13</t>
  </si>
  <si>
    <t>UGR14</t>
  </si>
  <si>
    <t>UGR15</t>
  </si>
  <si>
    <t>UGR16</t>
  </si>
  <si>
    <t>UGR17</t>
  </si>
  <si>
    <t>UGR18</t>
  </si>
  <si>
    <t>UGR19</t>
  </si>
  <si>
    <t>UGR20</t>
  </si>
  <si>
    <t>Life Stage</t>
  </si>
  <si>
    <t>CC2B</t>
  </si>
  <si>
    <t>CC3A</t>
  </si>
  <si>
    <t>CC3B2</t>
  </si>
  <si>
    <t>CC4</t>
  </si>
  <si>
    <t>CC5</t>
  </si>
  <si>
    <t>Negligible</t>
  </si>
  <si>
    <t>Low</t>
  </si>
  <si>
    <t>Medium</t>
  </si>
  <si>
    <t>High</t>
  </si>
  <si>
    <t>Variable</t>
  </si>
  <si>
    <t>Score</t>
  </si>
  <si>
    <t>Uncertainty</t>
  </si>
  <si>
    <t>Notes</t>
  </si>
  <si>
    <t>CC3B1</t>
  </si>
  <si>
    <t>Upstream Chinook Miles</t>
  </si>
  <si>
    <t>Chinook Migration Score</t>
  </si>
  <si>
    <t>Upstream Steelhead Miles</t>
  </si>
  <si>
    <t>Steelhead Migration Score</t>
  </si>
  <si>
    <t>Types of Uncertainty</t>
  </si>
  <si>
    <t>Fringe Score - H/M</t>
  </si>
  <si>
    <t>Fringe Score - M/L</t>
  </si>
  <si>
    <t>Fringe Score - L/N</t>
  </si>
  <si>
    <t xml:space="preserve">Unknown where within the BSR they are rearing. Baseflows are low. </t>
  </si>
  <si>
    <t>Some TAC expressed concern about BSR rates as 'High' as Lookingglass is outside BiOP population</t>
  </si>
  <si>
    <t>TAC notes spawning as low as the Recycling center</t>
  </si>
  <si>
    <t>Changed from Low to Negligible. No redds have been observed</t>
  </si>
  <si>
    <t xml:space="preserve">Uncertain how many fish observations are actually spotted that low. </t>
  </si>
  <si>
    <t>TAC had some indecision to rank as Low or Negligible as Indian Creek population does not contribute to UGR BiOP Population</t>
  </si>
  <si>
    <t>Lack Fish Distribution Data</t>
  </si>
  <si>
    <t>Fringe Score - H/M; Lack Fish Distribution Data</t>
  </si>
  <si>
    <t xml:space="preserve">High ranking due to telemetry dataset collected by Favreau </t>
  </si>
  <si>
    <t>Rates as low as summer rearing is confined to lower reaches of Catherine and Milk Creeks</t>
  </si>
  <si>
    <t>Fringe Score - H/M; Lack of Fish Distribution Data</t>
  </si>
  <si>
    <t xml:space="preserve">TAC noted this BSR is a fringe M/H BSR and cite a need for more RME data. The linkage with Sheep Creek is potentially important - if habitat were improved at the confluence, this site would have higher fish use. A lot of flow is lost in the BSR. </t>
  </si>
  <si>
    <t>Population not ESA-listed in BiOP</t>
  </si>
  <si>
    <t xml:space="preserve">Only one redd has been onserved in the past 25 years. </t>
  </si>
  <si>
    <t>CC2C1</t>
  </si>
  <si>
    <t>CC2C2</t>
  </si>
  <si>
    <t>CC2C3</t>
  </si>
  <si>
    <t>Not Evaluated</t>
  </si>
  <si>
    <t>Pyles Creek to Swackhammer Diversion</t>
  </si>
  <si>
    <t>Downstream of swackhammer to BOR T/A reach break 4 (river mile 47.2)</t>
  </si>
  <si>
    <t>BOR T/A reach break 4 (river mile 47.2) to north and south forks</t>
  </si>
  <si>
    <t>Lower and Middle Catherine Creek Tribs</t>
  </si>
  <si>
    <t>North and South Forks Catherine Creek</t>
  </si>
  <si>
    <t>Lookingglass Creek</t>
  </si>
  <si>
    <t>Gordon Creek, Cabin Cree and Phillips Creek</t>
  </si>
  <si>
    <t>Mainstem from Rondowa to Clark Creek</t>
  </si>
  <si>
    <t>Willow Creek</t>
  </si>
  <si>
    <t>Mainsteam from Clark Creek to State Ditch</t>
  </si>
  <si>
    <t>Clark Creek, Indian Creek, Rysdam Canyon and Duncan Canyon</t>
  </si>
  <si>
    <t>Mainstem from State Ditch to Orodell</t>
  </si>
  <si>
    <t>Old Grande Ronde Channel</t>
  </si>
  <si>
    <t>Mainstem from Orodell to Five Points Creek</t>
  </si>
  <si>
    <t>Five Points Creek</t>
  </si>
  <si>
    <t>Mainstem from Five Points Creek to Meadow Creek</t>
  </si>
  <si>
    <t>Rock Creek, Spring Creek, Whiskey Creek, Bear Creek and Jordan Creek</t>
  </si>
  <si>
    <t>Meadow, McCoy, McIntyre and Dark Canyon Creeks</t>
  </si>
  <si>
    <t>Beaver Creek</t>
  </si>
  <si>
    <t>Mainstem from Meadow Creek to Splash Dam</t>
  </si>
  <si>
    <t>Fly Creek</t>
  </si>
  <si>
    <t>Mainstem from Splash Dam to Meadowbrook Creek</t>
  </si>
  <si>
    <t>Limber Jim Creek</t>
  </si>
  <si>
    <t>Sheep Creek to Chicken Creek</t>
  </si>
  <si>
    <t>Mainstem from Meadowbrook Creek to Headwaters</t>
  </si>
  <si>
    <t>State Ditch to Old FR River Confluence</t>
  </si>
  <si>
    <t>Old GR River Confluence to Pyles Creek</t>
  </si>
  <si>
    <t>Little Creek</t>
  </si>
  <si>
    <t>Ladd Creek</t>
  </si>
  <si>
    <t>Count</t>
  </si>
  <si>
    <t>% Non-Negligble</t>
  </si>
  <si>
    <t>NA</t>
  </si>
  <si>
    <t>Not sure if fish are spawning in this reach</t>
  </si>
  <si>
    <t xml:space="preserve">Fish use is in Clear Creek </t>
  </si>
  <si>
    <t>Use mostly in Indiana Creek. Some eDNA detection in Chicken. No detection in Sheep Crk</t>
  </si>
  <si>
    <t xml:space="preserve">Fish Use confined to Indian Creek </t>
  </si>
  <si>
    <t>Densities of bull trout are lower than other spawning BSRs, but no brooke trout found in Limber Jim, so evaluated as high</t>
  </si>
  <si>
    <t xml:space="preserve">Fish use in Hoodoo Creek </t>
  </si>
  <si>
    <t>Spawning/Resident (all resident life stages)</t>
  </si>
  <si>
    <t>Spawning/Resident</t>
  </si>
  <si>
    <t>a lot of FMO probably occurs downstream of UGR area</t>
  </si>
  <si>
    <t>FMO (Feeding Migration and Overwintering [fluvial populations])</t>
  </si>
  <si>
    <t>Mostly resident popoulation'</t>
  </si>
  <si>
    <t xml:space="preserve">Uncertain how migratory population is </t>
  </si>
  <si>
    <t>Waffling all over the place over resident vs migratory</t>
  </si>
  <si>
    <t>FMO/Subadult</t>
  </si>
  <si>
    <t xml:space="preserve">Uncertainty </t>
  </si>
  <si>
    <t>on southern cross, only 1 or 2 redds a year, medium to low</t>
  </si>
  <si>
    <t>mainstem low, but tribs are contributing</t>
  </si>
  <si>
    <t>Lack Fish Distribution Data; Fringe Score - M/L</t>
  </si>
  <si>
    <t>maybe too cold, waterfalls</t>
  </si>
  <si>
    <t>don't know contribution of rearing</t>
  </si>
  <si>
    <t>CTUIR has seen fish</t>
  </si>
  <si>
    <t>Chinook only spawn in a small portion of this BSR (LKG and Little LKG)</t>
  </si>
  <si>
    <t>Limited info on winter use, may be a barrier near mouth of Ladd, could be more use if barrier removed.  Flow limited in winter and summer.</t>
  </si>
  <si>
    <t xml:space="preserve">ODFW surveyed in 2013-15 (summer e-fish), currently still barriers at LC2 and LC3,4. Team felt more use than Ladd Creek but not enough to warrant a Medium.  </t>
  </si>
  <si>
    <t>Subgroup changed this from high to medium on 3/10/26.  Too many highs.</t>
  </si>
  <si>
    <t>Temperatures are too high for summer rearing.  Low flow due to irrigation withdrawals</t>
  </si>
  <si>
    <t>A couple juvenile CHS found in e-fish survey in early 2000's but it's flow and temp limited for summer rearing. Recent water quality assessments found very low DO in Lower Ladd.</t>
  </si>
  <si>
    <t>Some surveys found low temperatures, but FLIR and NORWEST show warmer than mainstem CC temps.</t>
  </si>
  <si>
    <t>Spawning mostly in Pyles Creek</t>
  </si>
  <si>
    <t xml:space="preserve">This BSR gets the same adult migration return as all of Catherine Creek. At the screw trap, they are catching spring outmigrating smolts. </t>
  </si>
  <si>
    <t>There are cold water pools/patches, but concerns about habitat connectivity and longevity due to summer temps and low flow</t>
  </si>
  <si>
    <t xml:space="preserve">Temperatures are lethal outide of Birdtrack Springs and Langley Meadows  project areas. Unknown if rearing occurs within the two project areas. </t>
  </si>
  <si>
    <t>Spawning only on gravel bars at the confluence with smaller streams</t>
  </si>
  <si>
    <t>Cannot survey along the mainstem. Site does contain MUGRR and Bowman. No opportunity for spawning in the smaller streams</t>
  </si>
  <si>
    <t xml:space="preserve">Hard to determine ranking due to lack of survey data. </t>
  </si>
  <si>
    <t>Fish are hold/using/moving into this habitat but may not be hosting a population with a high contribution</t>
  </si>
  <si>
    <t>Has a lot of col water patches in the upper reaches</t>
  </si>
  <si>
    <t>Has cold water patches in the upper reaches</t>
  </si>
  <si>
    <t>FMO</t>
  </si>
  <si>
    <t>Spawning &amp; Resident</t>
  </si>
  <si>
    <t xml:space="preserve">Migration </t>
  </si>
  <si>
    <t>Total</t>
  </si>
  <si>
    <t>Theoretical Total</t>
  </si>
  <si>
    <t>Scaling Factor</t>
  </si>
  <si>
    <t xml:space="preserve">Corrected Spawning &amp; Resident </t>
  </si>
  <si>
    <t>Corrected FMO</t>
  </si>
  <si>
    <t>Corrected Spawning</t>
  </si>
  <si>
    <t>Corrected Winter Rearing</t>
  </si>
  <si>
    <t>Corrected Summer Rearing</t>
  </si>
  <si>
    <t>Total Score</t>
  </si>
  <si>
    <t>Rank</t>
  </si>
  <si>
    <t>Normalized</t>
  </si>
  <si>
    <t>BSR Description</t>
  </si>
  <si>
    <t>U-Score</t>
  </si>
  <si>
    <t>P-Score</t>
  </si>
  <si>
    <t>Combined Fish Score (Old)</t>
  </si>
  <si>
    <t>RANK Combined Fish Score (Old)</t>
  </si>
  <si>
    <t>Tier</t>
  </si>
  <si>
    <t>Original Atlas</t>
  </si>
  <si>
    <t>Old vs New (Normalized)</t>
  </si>
  <si>
    <t>−</t>
  </si>
  <si>
    <t>Catherine Creek</t>
  </si>
  <si>
    <t>Upper Grande Ronde</t>
  </si>
  <si>
    <t>Basin</t>
  </si>
  <si>
    <t>Both Basins</t>
  </si>
  <si>
    <t>BT Life Stage</t>
  </si>
  <si>
    <t>BT Weight</t>
  </si>
  <si>
    <t>Normalization Weighting - UGR</t>
  </si>
  <si>
    <t>Corrected Migration</t>
  </si>
  <si>
    <t>Gordon Creek, Cabin Creek and Phillips Creek</t>
  </si>
  <si>
    <t>SUM</t>
  </si>
  <si>
    <t>Fish Use Score
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</si>
</sst>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 Slab SemiBold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rgb="FF333333"/>
      <name val="Arial"/>
      <family val="2"/>
    </font>
    <font>
      <sz val="11"/>
      <color rgb="FFFFFFFF"/>
      <name val="Times New Roman"/>
      <family val="1"/>
    </font>
    <font>
      <sz val="11"/>
      <color theme="1"/>
      <name val="Aptos Narrow"/>
      <family val="2"/>
    </font>
    <font>
      <b/>
      <sz val="12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1" xfId="0" applyFill="1" applyBorder="1"/>
    <xf numFmtId="0" fontId="0" fillId="2" borderId="6" xfId="0" applyFill="1" applyBorder="1"/>
    <xf numFmtId="0" fontId="1" fillId="3" borderId="7" xfId="0" applyFont="1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0" xfId="0" applyFill="1"/>
    <xf numFmtId="0" fontId="0" fillId="3" borderId="5" xfId="0" applyFill="1" applyBorder="1"/>
    <xf numFmtId="0" fontId="0" fillId="3" borderId="4" xfId="0" applyFill="1" applyBorder="1"/>
    <xf numFmtId="0" fontId="0" fillId="3" borderId="6" xfId="0" applyFill="1" applyBorder="1"/>
    <xf numFmtId="0" fontId="0" fillId="0" borderId="2" xfId="0" quotePrefix="1" applyBorder="1"/>
    <xf numFmtId="0" fontId="1" fillId="3" borderId="0" xfId="0" applyFont="1" applyFill="1"/>
    <xf numFmtId="0" fontId="0" fillId="0" borderId="0" xfId="0" applyAlignment="1">
      <alignment wrapText="1"/>
    </xf>
    <xf numFmtId="0" fontId="3" fillId="0" borderId="0" xfId="0" applyFont="1"/>
    <xf numFmtId="164" fontId="0" fillId="0" borderId="0" xfId="0" applyNumberFormat="1"/>
    <xf numFmtId="0" fontId="0" fillId="0" borderId="14" xfId="0" applyBorder="1"/>
    <xf numFmtId="2" fontId="0" fillId="0" borderId="0" xfId="0" applyNumberForma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9" fontId="0" fillId="0" borderId="20" xfId="1" applyFont="1" applyBorder="1"/>
    <xf numFmtId="9" fontId="0" fillId="0" borderId="19" xfId="1" applyFont="1" applyBorder="1"/>
    <xf numFmtId="9" fontId="0" fillId="0" borderId="0" xfId="1" applyFont="1" applyBorder="1"/>
    <xf numFmtId="2" fontId="0" fillId="0" borderId="2" xfId="0" applyNumberFormat="1" applyBorder="1"/>
    <xf numFmtId="0" fontId="0" fillId="0" borderId="20" xfId="0" applyBorder="1"/>
    <xf numFmtId="9" fontId="0" fillId="0" borderId="0" xfId="1" applyFont="1" applyFill="1" applyBorder="1"/>
    <xf numFmtId="0" fontId="3" fillId="0" borderId="0" xfId="0" applyFont="1" applyAlignment="1">
      <alignment wrapText="1"/>
    </xf>
    <xf numFmtId="0" fontId="0" fillId="0" borderId="21" xfId="0" applyBorder="1"/>
    <xf numFmtId="0" fontId="3" fillId="0" borderId="2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0" fillId="0" borderId="22" xfId="0" applyBorder="1"/>
    <xf numFmtId="0" fontId="3" fillId="3" borderId="0" xfId="0" applyFont="1" applyFill="1" applyAlignment="1">
      <alignment horizontal="center" wrapText="1"/>
    </xf>
    <xf numFmtId="2" fontId="0" fillId="3" borderId="0" xfId="0" applyNumberFormat="1" applyFill="1"/>
    <xf numFmtId="9" fontId="3" fillId="0" borderId="0" xfId="1" applyFont="1"/>
    <xf numFmtId="9" fontId="0" fillId="0" borderId="12" xfId="0" applyNumberFormat="1" applyBorder="1"/>
    <xf numFmtId="9" fontId="0" fillId="0" borderId="10" xfId="0" applyNumberFormat="1" applyBorder="1"/>
    <xf numFmtId="9" fontId="0" fillId="0" borderId="11" xfId="0" applyNumberFormat="1" applyBorder="1"/>
    <xf numFmtId="0" fontId="0" fillId="0" borderId="23" xfId="0" applyBorder="1"/>
    <xf numFmtId="165" fontId="0" fillId="0" borderId="0" xfId="0" applyNumberFormat="1"/>
    <xf numFmtId="0" fontId="8" fillId="0" borderId="0" xfId="0" applyFont="1" applyAlignment="1">
      <alignment horizontal="center"/>
    </xf>
    <xf numFmtId="0" fontId="9" fillId="0" borderId="0" xfId="0" applyFont="1"/>
    <xf numFmtId="0" fontId="9" fillId="3" borderId="0" xfId="0" applyFont="1" applyFill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9" fillId="3" borderId="2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" fontId="0" fillId="0" borderId="2" xfId="0" applyNumberFormat="1" applyBorder="1"/>
    <xf numFmtId="1" fontId="0" fillId="0" borderId="0" xfId="0" applyNumberFormat="1"/>
    <xf numFmtId="1" fontId="0" fillId="0" borderId="4" xfId="0" applyNumberFormat="1" applyBorder="1"/>
    <xf numFmtId="1" fontId="0" fillId="0" borderId="5" xfId="0" applyNumberFormat="1" applyBorder="1"/>
    <xf numFmtId="0" fontId="9" fillId="3" borderId="3" xfId="0" applyFont="1" applyFill="1" applyBorder="1"/>
    <xf numFmtId="2" fontId="0" fillId="0" borderId="5" xfId="0" applyNumberFormat="1" applyBorder="1"/>
    <xf numFmtId="0" fontId="9" fillId="3" borderId="3" xfId="0" applyFont="1" applyFill="1" applyBorder="1" applyAlignment="1">
      <alignment wrapText="1"/>
    </xf>
    <xf numFmtId="0" fontId="9" fillId="3" borderId="27" xfId="0" applyFont="1" applyFill="1" applyBorder="1" applyAlignment="1">
      <alignment horizontal="center" wrapText="1"/>
    </xf>
    <xf numFmtId="166" fontId="0" fillId="4" borderId="0" xfId="0" applyNumberFormat="1" applyFill="1"/>
    <xf numFmtId="166" fontId="0" fillId="0" borderId="0" xfId="0" applyNumberFormat="1"/>
    <xf numFmtId="0" fontId="0" fillId="5" borderId="0" xfId="0" applyFill="1"/>
    <xf numFmtId="9" fontId="0" fillId="0" borderId="12" xfId="1" applyFont="1" applyBorder="1"/>
    <xf numFmtId="9" fontId="0" fillId="0" borderId="10" xfId="1" applyFont="1" applyBorder="1"/>
    <xf numFmtId="9" fontId="0" fillId="0" borderId="11" xfId="1" applyFont="1" applyBorder="1"/>
    <xf numFmtId="9" fontId="0" fillId="0" borderId="0" xfId="1" applyFont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25" xfId="0" applyBorder="1"/>
    <xf numFmtId="0" fontId="0" fillId="0" borderId="28" xfId="0" applyBorder="1"/>
    <xf numFmtId="2" fontId="0" fillId="3" borderId="25" xfId="0" applyNumberFormat="1" applyFill="1" applyBorder="1"/>
    <xf numFmtId="2" fontId="0" fillId="0" borderId="25" xfId="0" applyNumberFormat="1" applyBorder="1"/>
    <xf numFmtId="0" fontId="0" fillId="0" borderId="0" xfId="0" applyAlignment="1">
      <alignment horizontal="center"/>
    </xf>
    <xf numFmtId="164" fontId="0" fillId="3" borderId="0" xfId="0" applyNumberFormat="1" applyFill="1"/>
    <xf numFmtId="0" fontId="0" fillId="0" borderId="29" xfId="0" applyBorder="1"/>
    <xf numFmtId="2" fontId="0" fillId="3" borderId="5" xfId="0" applyNumberFormat="1" applyFill="1" applyBorder="1"/>
    <xf numFmtId="2" fontId="0" fillId="3" borderId="22" xfId="0" applyNumberFormat="1" applyFill="1" applyBorder="1"/>
    <xf numFmtId="2" fontId="0" fillId="3" borderId="30" xfId="0" applyNumberFormat="1" applyFill="1" applyBorder="1"/>
    <xf numFmtId="2" fontId="0" fillId="3" borderId="27" xfId="0" applyNumberFormat="1" applyFill="1" applyBorder="1"/>
    <xf numFmtId="164" fontId="3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horizontal="right"/>
    </xf>
    <xf numFmtId="0" fontId="1" fillId="3" borderId="0" xfId="0" applyFont="1" applyFill="1" applyAlignment="1">
      <alignment wrapText="1"/>
    </xf>
    <xf numFmtId="0" fontId="9" fillId="3" borderId="25" xfId="0" applyFont="1" applyFill="1" applyBorder="1" applyAlignment="1">
      <alignment horizontal="center" wrapText="1"/>
    </xf>
    <xf numFmtId="0" fontId="9" fillId="3" borderId="24" xfId="0" applyFont="1" applyFill="1" applyBorder="1" applyAlignment="1">
      <alignment horizontal="center" wrapText="1"/>
    </xf>
    <xf numFmtId="0" fontId="9" fillId="3" borderId="26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Fish Use Scores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Fish Use Scores</a:t>
          </a:r>
        </a:p>
      </cx:txPr>
    </cx:title>
    <cx:plotArea>
      <cx:plotAreaRegion>
        <cx:series layoutId="clusteredColumn" uniqueId="{DD093B79-3844-4BA2-96E7-1DEEFDCB0304}"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Updated Fish Use Score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Updated Fish Use Score</a:t>
              </a:r>
            </a:p>
          </cx:txPr>
        </cx:title>
        <cx:tickLabels/>
        <cx:numFmt formatCode="0" sourceLinked="0"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Steelhead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Steelhead</a:t>
          </a:r>
        </a:p>
      </cx:txPr>
    </cx:title>
    <cx:plotArea>
      <cx:plotAreaRegion>
        <cx:series layoutId="clusteredColumn" uniqueId="{C15C49BB-DA6F-4F63-9499-75945BDB9B47}">
          <cx:dataId val="0"/>
          <cx:layoutPr>
            <cx:binning intervalClosed="r">
              <cx:binCount val="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Chinook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Chinook</a:t>
          </a:r>
        </a:p>
      </cx:txPr>
    </cx:title>
    <cx:plotArea>
      <cx:plotAreaRegion>
        <cx:series layoutId="clusteredColumn" uniqueId="{26E11459-E211-4FB2-AA0F-8298D52819B4}">
          <cx:dataId val="0"/>
          <cx:layoutPr>
            <cx:binning intervalClosed="r">
              <cx:binCount val="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Bull Trout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Bull Trout</a:t>
          </a:r>
        </a:p>
      </cx:txPr>
    </cx:title>
    <cx:plotArea>
      <cx:plotAreaRegion>
        <cx:series layoutId="clusteredColumn" uniqueId="{C6F69846-F6E7-4811-B354-AD0059E44E3B}">
          <cx:dataId val="0"/>
          <cx:layoutPr>
            <cx:binning intervalClosed="r">
              <cx:binCount val="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Chinook Migration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Chinook Migration Score</a:t>
          </a:r>
        </a:p>
      </cx:txPr>
    </cx:title>
    <cx:plotArea>
      <cx:plotAreaRegion>
        <cx:series layoutId="clusteredColumn" uniqueId="{21891A45-CE19-4E72-AD14-8F8661ABE1F2}">
          <cx:tx>
            <cx:txData>
              <cx:f>_xlchart.v1.6</cx:f>
              <cx:v>Chinook Migration 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Chinook Migration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Chinook Migration Score</a:t>
          </a:r>
        </a:p>
      </cx:txPr>
    </cx:title>
    <cx:plotArea>
      <cx:plotAreaRegion>
        <cx:series layoutId="clusteredColumn" uniqueId="{2D7E2217-015C-4F4E-A3C4-92A154F45BED}">
          <cx:tx>
            <cx:txData>
              <cx:f>_xlchart.v1.4</cx:f>
              <cx:v>Steelhead Migration 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6.xml"/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55244</xdr:colOff>
      <xdr:row>2</xdr:row>
      <xdr:rowOff>20955</xdr:rowOff>
    </xdr:from>
    <xdr:to>
      <xdr:col>19</xdr:col>
      <xdr:colOff>95250</xdr:colOff>
      <xdr:row>6</xdr:row>
      <xdr:rowOff>17145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C17AC8-535C-455C-9634-4F097D5A7D40}"/>
            </a:ext>
          </a:extLst>
        </xdr:cNvPr>
        <xdr:cNvSpPr txBox="1"/>
      </xdr:nvSpPr>
      <xdr:spPr>
        <a:xfrm>
          <a:off x="13237844" y="421005"/>
          <a:ext cx="1868806" cy="796290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Bull</a:t>
          </a:r>
          <a:r>
            <a:rPr lang="en-US" sz="1100" baseline="0"/>
            <a:t> Trout - </a:t>
          </a:r>
          <a:r>
            <a:rPr lang="en-US" sz="1100"/>
            <a:t>Spawning</a:t>
          </a:r>
          <a:r>
            <a:rPr lang="en-US" sz="1100" baseline="0"/>
            <a:t> was considered more important to population viability. </a:t>
          </a:r>
          <a:endParaRPr lang="en-US" sz="1100"/>
        </a:p>
      </xdr:txBody>
    </xdr:sp>
    <xdr:clientData/>
  </xdr:twoCellAnchor>
  <xdr:twoCellAnchor>
    <xdr:from>
      <xdr:col>8</xdr:col>
      <xdr:colOff>249555</xdr:colOff>
      <xdr:row>31</xdr:row>
      <xdr:rowOff>148590</xdr:rowOff>
    </xdr:from>
    <xdr:to>
      <xdr:col>13</xdr:col>
      <xdr:colOff>529590</xdr:colOff>
      <xdr:row>46</xdr:row>
      <xdr:rowOff>40005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CCE3E1E-0162-5901-A8CF-0F87846A16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26755" y="6435090"/>
              <a:ext cx="4577715" cy="2748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47</xdr:row>
      <xdr:rowOff>128587</xdr:rowOff>
    </xdr:from>
    <xdr:to>
      <xdr:col>3</xdr:col>
      <xdr:colOff>742950</xdr:colOff>
      <xdr:row>62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2AD399A-7101-9196-7E96-4295C80992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464992"/>
              <a:ext cx="457581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23812</xdr:colOff>
      <xdr:row>32</xdr:row>
      <xdr:rowOff>166687</xdr:rowOff>
    </xdr:from>
    <xdr:to>
      <xdr:col>4</xdr:col>
      <xdr:colOff>14287</xdr:colOff>
      <xdr:row>47</xdr:row>
      <xdr:rowOff>52387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C234CE6-E06A-03D0-39C0-5E76B4EDAA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" y="6645592"/>
              <a:ext cx="45796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62</xdr:row>
      <xdr:rowOff>119062</xdr:rowOff>
    </xdr:from>
    <xdr:to>
      <xdr:col>3</xdr:col>
      <xdr:colOff>742950</xdr:colOff>
      <xdr:row>77</xdr:row>
      <xdr:rowOff>4762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40E4A1D-CCE1-41E6-A5FC-68AEFFF106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311062"/>
              <a:ext cx="457581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1</xdr:rowOff>
    </xdr:from>
    <xdr:to>
      <xdr:col>4</xdr:col>
      <xdr:colOff>9525</xdr:colOff>
      <xdr:row>34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C7F5F1-3F1A-4E0F-8974-82C238D1F4EC}"/>
            </a:ext>
          </a:extLst>
        </xdr:cNvPr>
        <xdr:cNvSpPr txBox="1"/>
      </xdr:nvSpPr>
      <xdr:spPr>
        <a:xfrm>
          <a:off x="590550" y="5934076"/>
          <a:ext cx="2924175" cy="647699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Compared to summer rearing</a:t>
          </a:r>
          <a:r>
            <a:rPr lang="en-US" sz="1100" baseline="0"/>
            <a:t> scores, the Highs stay High; Lows go to negligible; Mediums go to Low. 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3509596</xdr:colOff>
      <xdr:row>31</xdr:row>
      <xdr:rowOff>49529</xdr:rowOff>
    </xdr:from>
    <xdr:to>
      <xdr:col>7</xdr:col>
      <xdr:colOff>2743053</xdr:colOff>
      <xdr:row>36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D70E2-E89B-40ED-9F12-E1FD19B5EE83}"/>
            </a:ext>
          </a:extLst>
        </xdr:cNvPr>
        <xdr:cNvSpPr txBox="1"/>
      </xdr:nvSpPr>
      <xdr:spPr>
        <a:xfrm>
          <a:off x="8250115" y="5991664"/>
          <a:ext cx="4523496" cy="998221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Used maps from original</a:t>
          </a:r>
          <a:r>
            <a:rPr lang="en-US" sz="1100" baseline="0"/>
            <a:t> Atlas process aside from UGR1 and UGR 13. Rankings were updated in these BSRs due to new data from CTUIR. </a:t>
          </a:r>
        </a:p>
        <a:p>
          <a:endParaRPr lang="en-US" sz="1100" baseline="0"/>
        </a:p>
        <a:p>
          <a:r>
            <a:rPr lang="en-US" sz="1100" baseline="0"/>
            <a:t>Fish are may be moving into the mainstem in the winter for warmer/more habitable temps. </a:t>
          </a:r>
          <a:endParaRPr lang="en-US" sz="1100"/>
        </a:p>
      </xdr:txBody>
    </xdr:sp>
    <xdr:clientData/>
  </xdr:twoCellAnchor>
  <xdr:twoCellAnchor>
    <xdr:from>
      <xdr:col>8</xdr:col>
      <xdr:colOff>59056</xdr:colOff>
      <xdr:row>31</xdr:row>
      <xdr:rowOff>38101</xdr:rowOff>
    </xdr:from>
    <xdr:to>
      <xdr:col>10</xdr:col>
      <xdr:colOff>1969771</xdr:colOff>
      <xdr:row>36</xdr:row>
      <xdr:rowOff>95251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ABA635C-832B-49EE-B29B-A6583C9FC767}"/>
            </a:ext>
          </a:extLst>
        </xdr:cNvPr>
        <xdr:cNvSpPr txBox="1"/>
      </xdr:nvSpPr>
      <xdr:spPr>
        <a:xfrm>
          <a:off x="12965431" y="5981701"/>
          <a:ext cx="4101465" cy="1009650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Presence of summer rearing, cannot quantify</a:t>
          </a:r>
          <a:r>
            <a:rPr lang="en-US" sz="1100" baseline="0"/>
            <a:t> summer habitat, NEED MORE DATA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31</xdr:row>
      <xdr:rowOff>15240</xdr:rowOff>
    </xdr:from>
    <xdr:to>
      <xdr:col>4</xdr:col>
      <xdr:colOff>2293620</xdr:colOff>
      <xdr:row>34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8EBA7C-A646-432F-BF4A-B08298FA84EE}"/>
            </a:ext>
          </a:extLst>
        </xdr:cNvPr>
        <xdr:cNvSpPr txBox="1"/>
      </xdr:nvSpPr>
      <xdr:spPr>
        <a:xfrm>
          <a:off x="601980" y="5707380"/>
          <a:ext cx="3924300" cy="609600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Group</a:t>
          </a:r>
          <a:r>
            <a:rPr lang="en-US" sz="1100" baseline="0"/>
            <a:t> decided that spawning occured in so few places that all BSRs where known spawning occurs should be 'High'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1</xdr:row>
      <xdr:rowOff>85725</xdr:rowOff>
    </xdr:from>
    <xdr:to>
      <xdr:col>15</xdr:col>
      <xdr:colOff>423862</xdr:colOff>
      <xdr:row>15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D9AEBB2-1B05-6936-C398-CA033E0E57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88292" y="6591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133350</xdr:colOff>
      <xdr:row>16</xdr:row>
      <xdr:rowOff>123825</xdr:rowOff>
    </xdr:from>
    <xdr:to>
      <xdr:col>15</xdr:col>
      <xdr:colOff>438150</xdr:colOff>
      <xdr:row>31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AC91ABF-35B3-4D5F-8F84-A68F163434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02580" y="35547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ominique Shore" id="{4B3AF5E1-98B5-427C-B7EF-6C75B3F38BF5}" userId="S::Dominique@lichenlandwater.com::c733b6b0-ee5c-4be9-abc3-c75292960c6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6-02-23T20:06:25.54" personId="{4B3AF5E1-98B5-427C-B7EF-6C75B3F38BF5}" id="{607F9E30-3F44-4100-81EE-E04EB2221C62}">
    <text xml:space="preserve">Using same migration score as Steelhead Distribution. 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0EAA-B126-4217-953B-867ADBEF5F21}">
  <dimension ref="A1:K59"/>
  <sheetViews>
    <sheetView showGridLines="0" workbookViewId="0">
      <selection activeCell="G45" sqref="G45"/>
    </sheetView>
  </sheetViews>
  <sheetFormatPr defaultRowHeight="15" x14ac:dyDescent="0.25"/>
  <cols>
    <col min="2" max="2" width="45.42578125" customWidth="1"/>
    <col min="3" max="3" width="9.28515625" customWidth="1"/>
    <col min="4" max="4" width="11.7109375" customWidth="1"/>
    <col min="5" max="5" width="10.42578125" customWidth="1"/>
    <col min="6" max="6" width="10.7109375" customWidth="1"/>
    <col min="7" max="7" width="11.42578125" customWidth="1"/>
    <col min="10" max="10" width="14.85546875" customWidth="1"/>
  </cols>
  <sheetData>
    <row r="1" spans="1:11" ht="31.5" customHeight="1" x14ac:dyDescent="0.25">
      <c r="A1" s="52"/>
      <c r="B1" s="52"/>
      <c r="C1" s="52"/>
      <c r="D1" s="96" t="s">
        <v>162</v>
      </c>
      <c r="E1" s="95"/>
      <c r="F1" s="95"/>
      <c r="G1" s="97"/>
      <c r="H1" s="95" t="s">
        <v>155</v>
      </c>
      <c r="I1" s="95"/>
      <c r="J1" s="69"/>
    </row>
    <row r="2" spans="1:11" ht="63" x14ac:dyDescent="0.25">
      <c r="A2" s="53" t="s">
        <v>8</v>
      </c>
      <c r="B2" s="53" t="s">
        <v>156</v>
      </c>
      <c r="C2" s="53" t="s">
        <v>161</v>
      </c>
      <c r="D2" s="58" t="s">
        <v>157</v>
      </c>
      <c r="E2" s="53" t="s">
        <v>158</v>
      </c>
      <c r="F2" s="53" t="s">
        <v>159</v>
      </c>
      <c r="G2" s="59" t="s">
        <v>160</v>
      </c>
      <c r="H2" s="53" t="s">
        <v>9</v>
      </c>
      <c r="I2" s="66" t="s">
        <v>154</v>
      </c>
      <c r="J2" s="68" t="s">
        <v>163</v>
      </c>
      <c r="K2" s="21"/>
    </row>
    <row r="3" spans="1:11" x14ac:dyDescent="0.25">
      <c r="A3" s="15" t="s">
        <v>32</v>
      </c>
      <c r="B3" s="15" t="s">
        <v>97</v>
      </c>
      <c r="C3" s="57">
        <v>3</v>
      </c>
      <c r="D3" s="1">
        <v>13</v>
      </c>
      <c r="E3">
        <v>8</v>
      </c>
      <c r="F3">
        <f>SUM(D3:E3)</f>
        <v>21</v>
      </c>
      <c r="G3" s="2">
        <f>RANK(F3,($F$3:$F$4,$F$7:$F$31))</f>
        <v>20</v>
      </c>
      <c r="H3" s="25">
        <f>'Fish Use Scores - Normalized'!F2</f>
        <v>1.8587228943187077</v>
      </c>
      <c r="I3" s="2">
        <f>RANK(H3,$H$3:$H$31)</f>
        <v>16</v>
      </c>
      <c r="J3" s="2">
        <f>$G3-I3</f>
        <v>4</v>
      </c>
    </row>
    <row r="4" spans="1:11" x14ac:dyDescent="0.25">
      <c r="A4" s="15" t="s">
        <v>68</v>
      </c>
      <c r="B4" s="15" t="s">
        <v>98</v>
      </c>
      <c r="C4" s="57">
        <v>2</v>
      </c>
      <c r="D4" s="1">
        <v>13</v>
      </c>
      <c r="E4">
        <v>8</v>
      </c>
      <c r="F4">
        <f t="shared" ref="F4:F11" si="0">SUM(D4:E4)</f>
        <v>21</v>
      </c>
      <c r="G4" s="2">
        <f>RANK(F4,($F$3:$F$4,$F$7:$F$31))</f>
        <v>20</v>
      </c>
      <c r="H4" s="25">
        <f>'Fish Use Scores - Normalized'!F3</f>
        <v>1.2962402214139412</v>
      </c>
      <c r="I4" s="2">
        <f t="shared" ref="I4:I31" si="1">RANK(H4,$H$3:$H$31)</f>
        <v>20</v>
      </c>
      <c r="J4" s="2">
        <f>$G4-I4</f>
        <v>0</v>
      </c>
    </row>
    <row r="5" spans="1:11" x14ac:dyDescent="0.25">
      <c r="A5" s="15" t="s">
        <v>69</v>
      </c>
      <c r="B5" s="15" t="s">
        <v>100</v>
      </c>
      <c r="C5" s="51" t="s">
        <v>164</v>
      </c>
      <c r="D5" s="60" t="s">
        <v>164</v>
      </c>
      <c r="E5" s="51" t="s">
        <v>164</v>
      </c>
      <c r="F5" s="51" t="s">
        <v>164</v>
      </c>
      <c r="G5" s="61" t="s">
        <v>164</v>
      </c>
      <c r="H5" s="25">
        <f>'Fish Use Scores - Normalized'!F4</f>
        <v>0.7575444191505657</v>
      </c>
      <c r="I5" s="2">
        <f t="shared" si="1"/>
        <v>28</v>
      </c>
      <c r="J5" s="61" t="s">
        <v>164</v>
      </c>
    </row>
    <row r="6" spans="1:11" x14ac:dyDescent="0.25">
      <c r="A6" s="15" t="s">
        <v>70</v>
      </c>
      <c r="B6" s="15" t="s">
        <v>99</v>
      </c>
      <c r="C6" s="51" t="s">
        <v>164</v>
      </c>
      <c r="D6" s="60" t="s">
        <v>164</v>
      </c>
      <c r="E6" s="51" t="s">
        <v>164</v>
      </c>
      <c r="F6" s="51" t="s">
        <v>164</v>
      </c>
      <c r="G6" s="61" t="s">
        <v>164</v>
      </c>
      <c r="H6" s="25">
        <f>'Fish Use Scores - Normalized'!F5</f>
        <v>1.0176602810790156</v>
      </c>
      <c r="I6" s="2">
        <f t="shared" si="1"/>
        <v>23</v>
      </c>
      <c r="J6" s="61" t="s">
        <v>164</v>
      </c>
    </row>
    <row r="7" spans="1:11" x14ac:dyDescent="0.25">
      <c r="A7" s="15" t="s">
        <v>33</v>
      </c>
      <c r="B7" s="15" t="s">
        <v>72</v>
      </c>
      <c r="C7" s="57">
        <v>1</v>
      </c>
      <c r="D7" s="1">
        <v>19</v>
      </c>
      <c r="E7">
        <v>12</v>
      </c>
      <c r="F7">
        <f t="shared" si="0"/>
        <v>31</v>
      </c>
      <c r="G7" s="2">
        <f>RANK(F7,($F$3:$F$4,$F$7:$F$31))</f>
        <v>11</v>
      </c>
      <c r="H7" s="25">
        <f>'Fish Use Scores - Normalized'!F6</f>
        <v>1.9136916977936493</v>
      </c>
      <c r="I7" s="2">
        <f t="shared" si="1"/>
        <v>15</v>
      </c>
      <c r="J7" s="2">
        <f t="shared" ref="J7:J31" si="2">$G7-I7</f>
        <v>-4</v>
      </c>
    </row>
    <row r="8" spans="1:11" x14ac:dyDescent="0.25">
      <c r="A8" s="15" t="s">
        <v>45</v>
      </c>
      <c r="B8" s="15" t="s">
        <v>73</v>
      </c>
      <c r="C8" s="57">
        <v>1</v>
      </c>
      <c r="D8" s="1">
        <v>21</v>
      </c>
      <c r="E8">
        <v>14</v>
      </c>
      <c r="F8">
        <f t="shared" si="0"/>
        <v>35</v>
      </c>
      <c r="G8" s="2">
        <f>RANK(F8,($F$3:$F$4,$F$7:$F$31))</f>
        <v>9</v>
      </c>
      <c r="H8" s="25">
        <f>'Fish Use Scores - Normalized'!F7</f>
        <v>2.5278928530520606</v>
      </c>
      <c r="I8" s="2">
        <f t="shared" si="1"/>
        <v>10</v>
      </c>
      <c r="J8" s="2">
        <f t="shared" si="2"/>
        <v>-1</v>
      </c>
    </row>
    <row r="9" spans="1:11" x14ac:dyDescent="0.25">
      <c r="A9" s="15" t="s">
        <v>34</v>
      </c>
      <c r="B9" s="15" t="s">
        <v>74</v>
      </c>
      <c r="C9" s="57">
        <v>1</v>
      </c>
      <c r="D9" s="1">
        <v>17</v>
      </c>
      <c r="E9">
        <v>14</v>
      </c>
      <c r="F9">
        <f t="shared" si="0"/>
        <v>31</v>
      </c>
      <c r="G9" s="2">
        <f>RANK(F9,($F$3:$F$4,$F$7:$F$31))</f>
        <v>11</v>
      </c>
      <c r="H9" s="25">
        <f>'Fish Use Scores - Normalized'!F8</f>
        <v>4.046912089274212</v>
      </c>
      <c r="I9" s="2">
        <f t="shared" si="1"/>
        <v>1</v>
      </c>
      <c r="J9" s="2">
        <f t="shared" si="2"/>
        <v>10</v>
      </c>
    </row>
    <row r="10" spans="1:11" x14ac:dyDescent="0.25">
      <c r="A10" s="15" t="s">
        <v>35</v>
      </c>
      <c r="B10" s="15" t="s">
        <v>75</v>
      </c>
      <c r="C10" s="57">
        <v>3</v>
      </c>
      <c r="D10" s="1">
        <v>13</v>
      </c>
      <c r="E10">
        <v>14</v>
      </c>
      <c r="F10">
        <f t="shared" si="0"/>
        <v>27</v>
      </c>
      <c r="G10" s="2">
        <f>RANK(F10,($F$3:$F$4,$F$7:$F$31))</f>
        <v>15</v>
      </c>
      <c r="H10" s="25">
        <f>'Fish Use Scores - Normalized'!F9</f>
        <v>0.8950106605077333</v>
      </c>
      <c r="I10" s="2">
        <f t="shared" si="1"/>
        <v>25</v>
      </c>
      <c r="J10" s="2">
        <f t="shared" si="2"/>
        <v>-10</v>
      </c>
    </row>
    <row r="11" spans="1:11" x14ac:dyDescent="0.25">
      <c r="A11" s="15" t="s">
        <v>36</v>
      </c>
      <c r="B11" s="15" t="s">
        <v>76</v>
      </c>
      <c r="C11" s="57">
        <v>3</v>
      </c>
      <c r="D11" s="1">
        <v>15</v>
      </c>
      <c r="E11">
        <v>18</v>
      </c>
      <c r="F11">
        <f t="shared" si="0"/>
        <v>33</v>
      </c>
      <c r="G11" s="2">
        <f>RANK(F11,($F$3:$F$4,$F$7:$F$31))</f>
        <v>10</v>
      </c>
      <c r="H11" s="25">
        <f>'Fish Use Scores - Normalized'!F10</f>
        <v>3.686324883410113</v>
      </c>
      <c r="I11" s="2">
        <f t="shared" si="1"/>
        <v>2</v>
      </c>
      <c r="J11" s="2">
        <f t="shared" si="2"/>
        <v>8</v>
      </c>
    </row>
    <row r="12" spans="1:11" x14ac:dyDescent="0.25">
      <c r="A12" s="15" t="s">
        <v>11</v>
      </c>
      <c r="B12" s="15" t="s">
        <v>77</v>
      </c>
      <c r="C12" s="57">
        <v>3</v>
      </c>
      <c r="D12" s="62">
        <v>5</v>
      </c>
      <c r="E12" s="63">
        <v>17</v>
      </c>
      <c r="F12" s="63">
        <f>SUM(D12:E12)</f>
        <v>22</v>
      </c>
      <c r="G12" s="2">
        <f>RANK(F12,($F$3:$F$4,$F$7:$F$31))</f>
        <v>19</v>
      </c>
      <c r="H12" s="25">
        <f>'Fish Use Scores - Normalized'!F11</f>
        <v>3.6350273082567024</v>
      </c>
      <c r="I12" s="2">
        <f t="shared" si="1"/>
        <v>3</v>
      </c>
      <c r="J12" s="2">
        <f t="shared" si="2"/>
        <v>16</v>
      </c>
    </row>
    <row r="13" spans="1:11" x14ac:dyDescent="0.25">
      <c r="A13" s="15" t="s">
        <v>12</v>
      </c>
      <c r="B13" s="15" t="s">
        <v>173</v>
      </c>
      <c r="C13" s="57">
        <v>3</v>
      </c>
      <c r="D13" s="62">
        <v>7</v>
      </c>
      <c r="E13" s="63">
        <v>8</v>
      </c>
      <c r="F13" s="63">
        <f t="shared" ref="F13:F31" si="3">SUM(D13:E13)</f>
        <v>15</v>
      </c>
      <c r="G13" s="2">
        <f>RANK(F13,($F$3:$F$4,$F$7:$F$31))</f>
        <v>25</v>
      </c>
      <c r="H13" s="25">
        <f>'Fish Use Scores - Normalized'!F12</f>
        <v>0.7923183892388379</v>
      </c>
      <c r="I13" s="2">
        <f t="shared" si="1"/>
        <v>26</v>
      </c>
      <c r="J13" s="2">
        <f t="shared" si="2"/>
        <v>-1</v>
      </c>
    </row>
    <row r="14" spans="1:11" x14ac:dyDescent="0.25">
      <c r="A14" s="15" t="s">
        <v>13</v>
      </c>
      <c r="B14" s="15" t="s">
        <v>79</v>
      </c>
      <c r="C14" s="57">
        <v>3</v>
      </c>
      <c r="D14" s="62">
        <v>12</v>
      </c>
      <c r="E14" s="63">
        <v>14</v>
      </c>
      <c r="F14" s="63">
        <f t="shared" si="3"/>
        <v>26</v>
      </c>
      <c r="G14" s="2">
        <f>RANK(F14,($F$3:$F$4,$F$7:$F$31))</f>
        <v>17</v>
      </c>
      <c r="H14" s="25">
        <f>'Fish Use Scores - Normalized'!F13</f>
        <v>2.834596947982214</v>
      </c>
      <c r="I14" s="2">
        <f t="shared" si="1"/>
        <v>8</v>
      </c>
      <c r="J14" s="2">
        <f t="shared" si="2"/>
        <v>9</v>
      </c>
    </row>
    <row r="15" spans="1:11" x14ac:dyDescent="0.25">
      <c r="A15" s="15" t="s">
        <v>14</v>
      </c>
      <c r="B15" s="15" t="s">
        <v>80</v>
      </c>
      <c r="C15" s="57">
        <v>3</v>
      </c>
      <c r="D15" s="62">
        <v>8</v>
      </c>
      <c r="E15" s="63">
        <v>9</v>
      </c>
      <c r="F15" s="63">
        <f t="shared" si="3"/>
        <v>17</v>
      </c>
      <c r="G15" s="2">
        <f>RANK(F15,($F$3:$F$4,$F$7:$F$31))</f>
        <v>23</v>
      </c>
      <c r="H15" s="25">
        <f>'Fish Use Scores - Normalized'!F14</f>
        <v>0.7752589395218817</v>
      </c>
      <c r="I15" s="2">
        <f t="shared" si="1"/>
        <v>27</v>
      </c>
      <c r="J15" s="2">
        <f t="shared" si="2"/>
        <v>-4</v>
      </c>
    </row>
    <row r="16" spans="1:11" x14ac:dyDescent="0.25">
      <c r="A16" s="15" t="s">
        <v>15</v>
      </c>
      <c r="B16" s="15" t="s">
        <v>81</v>
      </c>
      <c r="C16" s="57">
        <v>3</v>
      </c>
      <c r="D16" s="62">
        <v>13</v>
      </c>
      <c r="E16" s="63">
        <v>14</v>
      </c>
      <c r="F16" s="63">
        <f t="shared" si="3"/>
        <v>27</v>
      </c>
      <c r="G16" s="2">
        <f>RANK(F16,($F$3:$F$4,$F$7:$F$31))</f>
        <v>15</v>
      </c>
      <c r="H16" s="25">
        <f>'Fish Use Scores - Normalized'!F15</f>
        <v>2.4040278620259814</v>
      </c>
      <c r="I16" s="2">
        <f t="shared" si="1"/>
        <v>12</v>
      </c>
      <c r="J16" s="2">
        <f t="shared" si="2"/>
        <v>3</v>
      </c>
    </row>
    <row r="17" spans="1:10" x14ac:dyDescent="0.25">
      <c r="A17" s="15" t="s">
        <v>16</v>
      </c>
      <c r="B17" s="15" t="s">
        <v>82</v>
      </c>
      <c r="C17" s="57">
        <v>2</v>
      </c>
      <c r="D17" s="62">
        <v>16</v>
      </c>
      <c r="E17" s="63">
        <v>25</v>
      </c>
      <c r="F17" s="63">
        <f t="shared" si="3"/>
        <v>41</v>
      </c>
      <c r="G17" s="2">
        <f>RANK(F17,($F$3:$F$4,$F$7:$F$31))</f>
        <v>5</v>
      </c>
      <c r="H17" s="25">
        <f>'Fish Use Scores - Normalized'!F16</f>
        <v>3.060058715973675</v>
      </c>
      <c r="I17" s="2">
        <f t="shared" si="1"/>
        <v>6</v>
      </c>
      <c r="J17" s="2">
        <f t="shared" si="2"/>
        <v>-1</v>
      </c>
    </row>
    <row r="18" spans="1:10" x14ac:dyDescent="0.25">
      <c r="A18" s="15" t="s">
        <v>17</v>
      </c>
      <c r="B18" s="15" t="s">
        <v>83</v>
      </c>
      <c r="C18" s="57">
        <v>3</v>
      </c>
      <c r="D18" s="62">
        <v>16</v>
      </c>
      <c r="E18" s="63">
        <v>14</v>
      </c>
      <c r="F18" s="63">
        <f t="shared" si="3"/>
        <v>30</v>
      </c>
      <c r="G18" s="2">
        <f>RANK(F18,($F$3:$F$4,$F$7:$F$31))</f>
        <v>13</v>
      </c>
      <c r="H18" s="25">
        <f>'Fish Use Scores - Normalized'!F17</f>
        <v>1.5661945170310645</v>
      </c>
      <c r="I18" s="2">
        <f t="shared" si="1"/>
        <v>17</v>
      </c>
      <c r="J18" s="2">
        <f t="shared" si="2"/>
        <v>-4</v>
      </c>
    </row>
    <row r="19" spans="1:10" x14ac:dyDescent="0.25">
      <c r="A19" s="15" t="s">
        <v>18</v>
      </c>
      <c r="B19" s="15" t="s">
        <v>84</v>
      </c>
      <c r="C19" s="57">
        <v>3</v>
      </c>
      <c r="D19" s="62">
        <v>0</v>
      </c>
      <c r="E19" s="63">
        <v>0</v>
      </c>
      <c r="F19" s="63">
        <f t="shared" si="3"/>
        <v>0</v>
      </c>
      <c r="G19" s="2">
        <f>RANK(F19,($F$3:$F$4,$F$7:$F$31))</f>
        <v>27</v>
      </c>
      <c r="H19" s="25">
        <f>'Fish Use Scores - Normalized'!F18</f>
        <v>0.020388008922060188</v>
      </c>
      <c r="I19" s="2">
        <f t="shared" si="1"/>
        <v>29</v>
      </c>
      <c r="J19" s="2">
        <f t="shared" si="2"/>
        <v>-2</v>
      </c>
    </row>
    <row r="20" spans="1:10" x14ac:dyDescent="0.25">
      <c r="A20" s="15" t="s">
        <v>19</v>
      </c>
      <c r="B20" s="15" t="s">
        <v>85</v>
      </c>
      <c r="C20" s="57">
        <v>3</v>
      </c>
      <c r="D20" s="62">
        <v>13</v>
      </c>
      <c r="E20" s="63">
        <v>15</v>
      </c>
      <c r="F20" s="63">
        <f t="shared" si="3"/>
        <v>28</v>
      </c>
      <c r="G20" s="2">
        <f>RANK(F20,($F$3:$F$4,$F$7:$F$31))</f>
        <v>14</v>
      </c>
      <c r="H20" s="25">
        <f>'Fish Use Scores - Normalized'!F19</f>
        <v>1.4791448165105123</v>
      </c>
      <c r="I20" s="2">
        <f t="shared" si="1"/>
        <v>18</v>
      </c>
      <c r="J20" s="2">
        <f t="shared" si="2"/>
        <v>-4</v>
      </c>
    </row>
    <row r="21" spans="1:10" x14ac:dyDescent="0.25">
      <c r="A21" s="15" t="s">
        <v>20</v>
      </c>
      <c r="B21" s="15" t="s">
        <v>86</v>
      </c>
      <c r="C21" s="57">
        <v>3</v>
      </c>
      <c r="D21" s="62">
        <v>6</v>
      </c>
      <c r="E21" s="63">
        <v>8</v>
      </c>
      <c r="F21" s="63">
        <f t="shared" si="3"/>
        <v>14</v>
      </c>
      <c r="G21" s="2">
        <f>RANK(F21,($F$3:$F$4,$F$7:$F$31))</f>
        <v>26</v>
      </c>
      <c r="H21" s="25">
        <f>'Fish Use Scores - Normalized'!F20</f>
        <v>1.0406119196760353</v>
      </c>
      <c r="I21" s="2">
        <f t="shared" si="1"/>
        <v>22</v>
      </c>
      <c r="J21" s="2">
        <f t="shared" si="2"/>
        <v>4</v>
      </c>
    </row>
    <row r="22" spans="1:10" x14ac:dyDescent="0.25">
      <c r="A22" s="15" t="s">
        <v>21</v>
      </c>
      <c r="B22" s="15" t="s">
        <v>87</v>
      </c>
      <c r="C22" s="57">
        <v>2</v>
      </c>
      <c r="D22" s="62">
        <v>23</v>
      </c>
      <c r="E22" s="63">
        <v>18</v>
      </c>
      <c r="F22" s="63">
        <f t="shared" si="3"/>
        <v>41</v>
      </c>
      <c r="G22" s="2">
        <f>RANK(F22,($F$3:$F$4,$F$7:$F$31))</f>
        <v>5</v>
      </c>
      <c r="H22" s="25">
        <f>'Fish Use Scores - Normalized'!F21</f>
        <v>2.010168389048839</v>
      </c>
      <c r="I22" s="2">
        <f t="shared" si="1"/>
        <v>14</v>
      </c>
      <c r="J22" s="2">
        <f t="shared" si="2"/>
        <v>-9</v>
      </c>
    </row>
    <row r="23" spans="1:10" x14ac:dyDescent="0.25">
      <c r="A23" s="15" t="s">
        <v>22</v>
      </c>
      <c r="B23" s="15" t="s">
        <v>88</v>
      </c>
      <c r="C23" s="57">
        <v>3</v>
      </c>
      <c r="D23" s="62">
        <v>6</v>
      </c>
      <c r="E23" s="63">
        <v>11</v>
      </c>
      <c r="F23" s="63">
        <f t="shared" si="3"/>
        <v>17</v>
      </c>
      <c r="G23" s="2">
        <f>RANK(F23,($F$3:$F$4,$F$7:$F$31))</f>
        <v>23</v>
      </c>
      <c r="H23" s="25">
        <f>'Fish Use Scores - Normalized'!F22</f>
        <v>0.9331778613239973</v>
      </c>
      <c r="I23" s="2">
        <f t="shared" si="1"/>
        <v>24</v>
      </c>
      <c r="J23" s="2">
        <f t="shared" si="2"/>
        <v>-1</v>
      </c>
    </row>
    <row r="24" spans="1:10" x14ac:dyDescent="0.25">
      <c r="A24" s="15" t="s">
        <v>23</v>
      </c>
      <c r="B24" s="15" t="s">
        <v>89</v>
      </c>
      <c r="C24" s="57">
        <v>2</v>
      </c>
      <c r="D24" s="62">
        <v>9</v>
      </c>
      <c r="E24" s="63">
        <v>17</v>
      </c>
      <c r="F24" s="63">
        <f t="shared" si="3"/>
        <v>26</v>
      </c>
      <c r="G24" s="2">
        <f>RANK(F24,($F$3:$F$4,$F$7:$F$31))</f>
        <v>17</v>
      </c>
      <c r="H24" s="25">
        <f>'Fish Use Scores - Normalized'!F23</f>
        <v>1.167900580805473</v>
      </c>
      <c r="I24" s="2">
        <f t="shared" si="1"/>
        <v>21</v>
      </c>
      <c r="J24" s="2">
        <f t="shared" si="2"/>
        <v>-4</v>
      </c>
    </row>
    <row r="25" spans="1:10" x14ac:dyDescent="0.25">
      <c r="A25" s="15" t="s">
        <v>24</v>
      </c>
      <c r="B25" s="15" t="s">
        <v>90</v>
      </c>
      <c r="C25" s="57">
        <v>2</v>
      </c>
      <c r="D25" s="62">
        <v>18</v>
      </c>
      <c r="E25" s="63">
        <v>22</v>
      </c>
      <c r="F25" s="63">
        <f t="shared" si="3"/>
        <v>40</v>
      </c>
      <c r="G25" s="2">
        <f>RANK(F25,($F$3:$F$4,$F$7:$F$31))</f>
        <v>7</v>
      </c>
      <c r="H25" s="25">
        <f>'Fish Use Scores - Normalized'!F24</f>
        <v>2.8719875298456556</v>
      </c>
      <c r="I25" s="2">
        <f t="shared" si="1"/>
        <v>7</v>
      </c>
      <c r="J25" s="2">
        <f t="shared" si="2"/>
        <v>0</v>
      </c>
    </row>
    <row r="26" spans="1:10" x14ac:dyDescent="0.25">
      <c r="A26" s="15" t="s">
        <v>25</v>
      </c>
      <c r="B26" s="15" t="s">
        <v>91</v>
      </c>
      <c r="C26" s="57">
        <v>1</v>
      </c>
      <c r="D26" s="62">
        <v>24</v>
      </c>
      <c r="E26" s="63">
        <v>22</v>
      </c>
      <c r="F26" s="63">
        <f t="shared" si="3"/>
        <v>46</v>
      </c>
      <c r="G26" s="2">
        <f>RANK(F26,($F$3:$F$4,$F$7:$F$31))</f>
        <v>2</v>
      </c>
      <c r="H26" s="25">
        <f>'Fish Use Scores - Normalized'!F25</f>
        <v>2.433718423402889</v>
      </c>
      <c r="I26" s="2">
        <f t="shared" si="1"/>
        <v>11</v>
      </c>
      <c r="J26" s="2">
        <f t="shared" si="2"/>
        <v>-9</v>
      </c>
    </row>
    <row r="27" spans="1:10" x14ac:dyDescent="0.25">
      <c r="A27" s="15" t="s">
        <v>26</v>
      </c>
      <c r="B27" s="15" t="s">
        <v>92</v>
      </c>
      <c r="C27" s="57">
        <v>3</v>
      </c>
      <c r="D27" s="62">
        <v>11</v>
      </c>
      <c r="E27" s="63">
        <v>10</v>
      </c>
      <c r="F27" s="63">
        <f t="shared" si="3"/>
        <v>21</v>
      </c>
      <c r="G27" s="2">
        <f>RANK(F27,($F$3:$F$4,$F$7:$F$31))</f>
        <v>20</v>
      </c>
      <c r="H27" s="25">
        <f>'Fish Use Scores - Normalized'!F26</f>
        <v>1.2997912059055188</v>
      </c>
      <c r="I27" s="2">
        <f t="shared" si="1"/>
        <v>19</v>
      </c>
      <c r="J27" s="2">
        <f t="shared" si="2"/>
        <v>1</v>
      </c>
    </row>
    <row r="28" spans="1:10" x14ac:dyDescent="0.25">
      <c r="A28" s="15" t="s">
        <v>27</v>
      </c>
      <c r="B28" s="15" t="s">
        <v>93</v>
      </c>
      <c r="C28" s="57">
        <v>1</v>
      </c>
      <c r="D28" s="62">
        <v>24</v>
      </c>
      <c r="E28" s="63">
        <v>22</v>
      </c>
      <c r="F28" s="63">
        <f t="shared" si="3"/>
        <v>46</v>
      </c>
      <c r="G28" s="2">
        <f>RANK(F28,($F$3:$F$4,$F$7:$F$31))</f>
        <v>2</v>
      </c>
      <c r="H28" s="25">
        <f>'Fish Use Scores - Normalized'!F27</f>
        <v>2.388384382561424</v>
      </c>
      <c r="I28" s="2">
        <f t="shared" si="1"/>
        <v>13</v>
      </c>
      <c r="J28" s="2">
        <f t="shared" si="2"/>
        <v>-11</v>
      </c>
    </row>
    <row r="29" spans="1:10" x14ac:dyDescent="0.25">
      <c r="A29" s="15" t="s">
        <v>28</v>
      </c>
      <c r="B29" s="15" t="s">
        <v>94</v>
      </c>
      <c r="C29" s="57">
        <v>2</v>
      </c>
      <c r="D29" s="62">
        <v>13</v>
      </c>
      <c r="E29" s="63">
        <v>24</v>
      </c>
      <c r="F29" s="63">
        <f t="shared" si="3"/>
        <v>37</v>
      </c>
      <c r="G29" s="2">
        <f>RANK(F29,($F$3:$F$4,$F$7:$F$31))</f>
        <v>8</v>
      </c>
      <c r="H29" s="25">
        <f>'Fish Use Scores - Normalized'!F28</f>
        <v>2.641564177501951</v>
      </c>
      <c r="I29" s="2">
        <f t="shared" si="1"/>
        <v>9</v>
      </c>
      <c r="J29" s="2">
        <f t="shared" si="2"/>
        <v>-1</v>
      </c>
    </row>
    <row r="30" spans="1:10" x14ac:dyDescent="0.25">
      <c r="A30" s="15" t="s">
        <v>29</v>
      </c>
      <c r="B30" s="15" t="s">
        <v>95</v>
      </c>
      <c r="C30" s="57">
        <v>1</v>
      </c>
      <c r="D30" s="62">
        <v>25</v>
      </c>
      <c r="E30" s="63">
        <v>23</v>
      </c>
      <c r="F30" s="63">
        <f t="shared" si="3"/>
        <v>48</v>
      </c>
      <c r="G30" s="2">
        <f>RANK(F30,($F$3:$F$4,$F$7:$F$31))</f>
        <v>1</v>
      </c>
      <c r="H30" s="25">
        <f>'Fish Use Scores - Normalized'!F29</f>
        <v>3.172890838818171</v>
      </c>
      <c r="I30" s="2">
        <f t="shared" si="1"/>
        <v>5</v>
      </c>
      <c r="J30" s="2">
        <f t="shared" si="2"/>
        <v>-4</v>
      </c>
    </row>
    <row r="31" spans="1:10" ht="15.75" thickBot="1" x14ac:dyDescent="0.3">
      <c r="A31" s="15" t="s">
        <v>30</v>
      </c>
      <c r="B31" s="15" t="s">
        <v>96</v>
      </c>
      <c r="C31" s="57">
        <v>1</v>
      </c>
      <c r="D31" s="64">
        <v>21</v>
      </c>
      <c r="E31" s="65">
        <v>25</v>
      </c>
      <c r="F31" s="65">
        <f t="shared" si="3"/>
        <v>46</v>
      </c>
      <c r="G31" s="5">
        <f>RANK(F31,($F$3:$F$4,$F$7:$F$31))</f>
        <v>2</v>
      </c>
      <c r="H31" s="67">
        <f>'Fish Use Scores - Normalized'!F30</f>
        <v>3.4727891856471125</v>
      </c>
      <c r="I31" s="5">
        <f t="shared" si="1"/>
        <v>4</v>
      </c>
      <c r="J31" s="5">
        <f t="shared" si="2"/>
        <v>-2</v>
      </c>
    </row>
    <row r="39" spans="2:8" x14ac:dyDescent="0.25">
      <c r="B39" s="54"/>
      <c r="C39" s="54"/>
      <c r="D39" s="54"/>
      <c r="E39" s="54"/>
      <c r="F39" s="54"/>
      <c r="G39" s="54"/>
      <c r="H39" s="54"/>
    </row>
    <row r="40" spans="2:8" x14ac:dyDescent="0.25">
      <c r="B40" s="55"/>
      <c r="C40" s="55"/>
      <c r="D40" s="55"/>
      <c r="E40" s="55"/>
      <c r="F40" s="55"/>
      <c r="G40" s="55"/>
      <c r="H40" s="56"/>
    </row>
    <row r="41" spans="2:8" x14ac:dyDescent="0.25">
      <c r="B41" s="55"/>
      <c r="C41" s="55"/>
      <c r="D41" s="55"/>
      <c r="E41" s="55"/>
      <c r="F41" s="55"/>
      <c r="G41" s="55"/>
      <c r="H41" s="56"/>
    </row>
    <row r="42" spans="2:8" x14ac:dyDescent="0.25">
      <c r="B42" s="55"/>
      <c r="C42" s="55"/>
      <c r="D42" s="55"/>
      <c r="E42" s="55"/>
      <c r="F42" s="55"/>
      <c r="G42" s="55"/>
      <c r="H42" s="56"/>
    </row>
    <row r="43" spans="2:8" x14ac:dyDescent="0.25">
      <c r="B43" s="55"/>
      <c r="C43" s="55"/>
      <c r="D43" s="55"/>
      <c r="E43" s="55"/>
      <c r="F43" s="55"/>
      <c r="G43" s="55"/>
      <c r="H43" s="56"/>
    </row>
    <row r="44" spans="2:8" x14ac:dyDescent="0.25">
      <c r="B44" s="55"/>
      <c r="C44" s="55"/>
      <c r="D44" s="55"/>
      <c r="E44" s="55"/>
      <c r="F44" s="55"/>
      <c r="G44" s="55"/>
      <c r="H44" s="56"/>
    </row>
    <row r="45" spans="2:8" x14ac:dyDescent="0.25">
      <c r="B45" s="55"/>
      <c r="C45" s="55"/>
      <c r="D45" s="55"/>
      <c r="E45" s="55"/>
      <c r="F45" s="55"/>
      <c r="G45" s="55"/>
      <c r="H45" s="56"/>
    </row>
    <row r="46" spans="2:8" x14ac:dyDescent="0.25">
      <c r="B46" s="55"/>
      <c r="C46" s="55"/>
      <c r="D46" s="55"/>
      <c r="E46" s="55"/>
      <c r="F46" s="55"/>
      <c r="G46" s="55"/>
      <c r="H46" s="56"/>
    </row>
    <row r="47" spans="2:8" x14ac:dyDescent="0.25">
      <c r="B47" s="55"/>
      <c r="C47" s="55"/>
      <c r="D47" s="55"/>
      <c r="E47" s="55"/>
      <c r="F47" s="55"/>
      <c r="G47" s="55"/>
      <c r="H47" s="56"/>
    </row>
    <row r="48" spans="2:8" x14ac:dyDescent="0.25">
      <c r="B48" s="55"/>
      <c r="C48" s="55"/>
      <c r="D48" s="55"/>
      <c r="E48" s="55"/>
      <c r="F48" s="55"/>
      <c r="G48" s="55"/>
    </row>
    <row r="49" spans="2:7" x14ac:dyDescent="0.25">
      <c r="B49" s="55"/>
      <c r="C49" s="55"/>
      <c r="D49" s="55"/>
      <c r="E49" s="55"/>
      <c r="F49" s="55"/>
      <c r="G49" s="55"/>
    </row>
    <row r="50" spans="2:7" x14ac:dyDescent="0.25">
      <c r="B50" s="55"/>
      <c r="C50" s="55"/>
      <c r="D50" s="55"/>
      <c r="E50" s="55"/>
      <c r="F50" s="55"/>
      <c r="G50" s="55"/>
    </row>
    <row r="51" spans="2:7" x14ac:dyDescent="0.25">
      <c r="B51" s="55"/>
      <c r="C51" s="55"/>
      <c r="D51" s="55"/>
      <c r="E51" s="55"/>
      <c r="F51" s="55"/>
      <c r="G51" s="55"/>
    </row>
    <row r="52" spans="2:7" x14ac:dyDescent="0.25">
      <c r="B52" s="55"/>
      <c r="C52" s="55"/>
      <c r="D52" s="55"/>
      <c r="E52" s="55"/>
      <c r="F52" s="55"/>
      <c r="G52" s="55"/>
    </row>
    <row r="53" spans="2:7" x14ac:dyDescent="0.25">
      <c r="B53" s="55"/>
      <c r="C53" s="55"/>
      <c r="D53" s="55"/>
      <c r="E53" s="55"/>
      <c r="F53" s="55"/>
      <c r="G53" s="55"/>
    </row>
    <row r="54" spans="2:7" x14ac:dyDescent="0.25">
      <c r="B54" s="55"/>
      <c r="C54" s="55"/>
      <c r="D54" s="55"/>
      <c r="E54" s="55"/>
      <c r="F54" s="55"/>
      <c r="G54" s="55"/>
    </row>
    <row r="55" spans="2:7" x14ac:dyDescent="0.25">
      <c r="B55" s="55"/>
      <c r="C55" s="55"/>
      <c r="D55" s="55"/>
      <c r="E55" s="55"/>
      <c r="F55" s="55"/>
      <c r="G55" s="55"/>
    </row>
    <row r="56" spans="2:7" x14ac:dyDescent="0.25">
      <c r="B56" s="55"/>
      <c r="C56" s="55"/>
      <c r="D56" s="55"/>
      <c r="E56" s="55"/>
      <c r="F56" s="55"/>
      <c r="G56" s="55"/>
    </row>
    <row r="57" spans="2:7" x14ac:dyDescent="0.25">
      <c r="B57" s="55"/>
      <c r="C57" s="55"/>
      <c r="D57" s="55"/>
      <c r="E57" s="55"/>
      <c r="F57" s="55"/>
      <c r="G57" s="55"/>
    </row>
    <row r="58" spans="2:7" x14ac:dyDescent="0.25">
      <c r="B58" s="55"/>
      <c r="C58" s="55"/>
      <c r="D58" s="55"/>
      <c r="E58" s="55"/>
      <c r="F58" s="55"/>
      <c r="G58" s="55"/>
    </row>
    <row r="59" spans="2:7" x14ac:dyDescent="0.25">
      <c r="B59" s="55"/>
      <c r="C59" s="55"/>
      <c r="D59" s="55"/>
      <c r="E59" s="55"/>
      <c r="F59" s="55"/>
      <c r="G59" s="55"/>
    </row>
  </sheetData>
  <sortState xmlns:xlrd2="http://schemas.microsoft.com/office/spreadsheetml/2017/richdata2" ref="B40:G48">
    <sortCondition ref="B40:B48"/>
  </sortState>
  <mergeCells count="2">
    <mergeCell ref="H1:I1"/>
    <mergeCell ref="D1:G1"/>
  </mergeCells>
  <conditionalFormatting sqref="C3:C4 C7:C31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5:C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G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4 G7:G31">
    <cfRule type="colorScale" priority="1">
      <colorScale>
        <cfvo type="min"/>
        <cfvo type="max"/>
        <color rgb="FFFCFCFF"/>
        <color rgb="FF63BE7B"/>
      </colorScale>
    </cfRule>
  </conditionalFormatting>
  <conditionalFormatting sqref="I3:I31">
    <cfRule type="colorScale" priority="2">
      <colorScale>
        <cfvo type="min"/>
        <cfvo type="max"/>
        <color rgb="FFFCFCFF"/>
        <color rgb="FF63BE7B"/>
      </colorScale>
    </cfRule>
  </conditionalFormatting>
  <conditionalFormatting sqref="J3:J4 J7:J3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AA85-4D1C-42CF-A6F0-0996091ECF5D}">
  <dimension ref="A1:P35"/>
  <sheetViews>
    <sheetView showGridLines="0" workbookViewId="0">
      <selection activeCell="C20" sqref="C20"/>
    </sheetView>
  </sheetViews>
  <sheetFormatPr defaultRowHeight="15" x14ac:dyDescent="0.25"/>
  <cols>
    <col min="1" max="1" width="8.28515625" customWidth="1"/>
    <col min="2" max="2" width="37.85546875" customWidth="1"/>
    <col min="3" max="5" width="11.28515625" customWidth="1"/>
    <col min="6" max="6" width="15.28515625" customWidth="1"/>
    <col min="8" max="8" width="16.5703125" customWidth="1"/>
    <col min="10" max="10" width="20" customWidth="1"/>
    <col min="11" max="11" width="15.28515625" customWidth="1"/>
    <col min="12" max="12" width="10.85546875" customWidth="1"/>
    <col min="14" max="14" width="13.5703125" customWidth="1"/>
    <col min="15" max="15" width="21.42578125" customWidth="1"/>
  </cols>
  <sheetData>
    <row r="1" spans="1:16" ht="31.5" x14ac:dyDescent="0.25">
      <c r="A1" s="20" t="s">
        <v>8</v>
      </c>
      <c r="B1" s="20"/>
      <c r="C1" s="20" t="s">
        <v>4</v>
      </c>
      <c r="D1" s="20" t="s">
        <v>6</v>
      </c>
      <c r="E1" s="20" t="s">
        <v>5</v>
      </c>
      <c r="F1" s="20" t="s">
        <v>9</v>
      </c>
      <c r="G1" s="20" t="s">
        <v>154</v>
      </c>
      <c r="H1" s="94" t="s">
        <v>175</v>
      </c>
    </row>
    <row r="2" spans="1:16" ht="15.75" thickBot="1" x14ac:dyDescent="0.3">
      <c r="A2" s="15" t="s">
        <v>32</v>
      </c>
      <c r="B2" s="15" t="s">
        <v>97</v>
      </c>
      <c r="C2" s="25">
        <f>$L$5*'Normalized Score Calculator'!C3
+$L$7*'Normalized Score Calculator'!E3
+$L$6*'Normalized Score Calculator'!G3
+$L$8*'Normalized Score Calculator'!I3</f>
        <v>0.91015475603653817</v>
      </c>
      <c r="D2" s="25">
        <f>$M$5*'Normalized Score Calculator'!K3
+$M$7*'Normalized Score Calculator'!M3
+$M$6*'Normalized Score Calculator'!O3
+$M$8*'Normalized Score Calculator'!Q3</f>
        <v>0.57806122583977326</v>
      </c>
      <c r="E2" s="25">
        <f>$P$5*'Normalized Score Calculator'!S3
+$P$6*'Normalized Score Calculator'!U3</f>
        <v>0.37050691244239636</v>
      </c>
      <c r="F2" s="50">
        <f>C2*$L$17+D2*$L$18+E2*$L$19</f>
        <v>1.8587228943187077</v>
      </c>
      <c r="G2">
        <f>RANK(F2,$F$2:$F$30)</f>
        <v>16</v>
      </c>
      <c r="H2" s="25">
        <f>F2*(100/F$35)</f>
        <v>45.92941119835538</v>
      </c>
    </row>
    <row r="3" spans="1:16" ht="16.5" thickBot="1" x14ac:dyDescent="0.3">
      <c r="A3" s="15" t="s">
        <v>68</v>
      </c>
      <c r="B3" s="15" t="s">
        <v>98</v>
      </c>
      <c r="C3" s="25">
        <f>$L$5*'Normalized Score Calculator'!C4
+$L$7*'Normalized Score Calculator'!E4
+$L$6*'Normalized Score Calculator'!G4
+$L$8*'Normalized Score Calculator'!I4</f>
        <v>0.59346474142267391</v>
      </c>
      <c r="D3" s="25">
        <f>$M$5*'Normalized Score Calculator'!K4
+$M$7*'Normalized Score Calculator'!M4
+$M$6*'Normalized Score Calculator'!O4
+$M$8*'Normalized Score Calculator'!Q4</f>
        <v>0.33226856754887096</v>
      </c>
      <c r="E3" s="25">
        <f>$P$5*'Normalized Score Calculator'!S4
+$P$6*'Normalized Score Calculator'!U4</f>
        <v>0.37050691244239636</v>
      </c>
      <c r="F3" s="50">
        <f>C3*$L$17+D3*$L$18+E3*$L$19</f>
        <v>1.2962402214139412</v>
      </c>
      <c r="G3">
        <f t="shared" ref="G3:G30" si="0">RANK(F3,$F$2:$F$30)</f>
        <v>20</v>
      </c>
      <c r="H3" s="25">
        <f t="shared" ref="H3:H30" si="1">F3*(100/F$35)</f>
        <v>32.03035284234241</v>
      </c>
      <c r="K3" s="12" t="s">
        <v>7</v>
      </c>
      <c r="L3" s="13"/>
      <c r="M3" s="13"/>
      <c r="N3" s="13"/>
      <c r="O3" s="13"/>
      <c r="P3" s="14"/>
    </row>
    <row r="4" spans="1:16" ht="15.75" thickBot="1" x14ac:dyDescent="0.3">
      <c r="A4" s="15" t="s">
        <v>69</v>
      </c>
      <c r="B4" s="15" t="s">
        <v>100</v>
      </c>
      <c r="C4" s="25">
        <f>$L$5*'Normalized Score Calculator'!C5
+$L$7*'Normalized Score Calculator'!E5
+$L$6*'Normalized Score Calculator'!G5
+$L$8*'Normalized Score Calculator'!I5</f>
        <v>0.16859679063702185</v>
      </c>
      <c r="D4" s="25">
        <f>$M$5*'Normalized Score Calculator'!K5
+$M$7*'Normalized Score Calculator'!M5
+$M$6*'Normalized Score Calculator'!O5
+$M$8*'Normalized Score Calculator'!Q5</f>
        <v>0.58894762851354387</v>
      </c>
      <c r="E4" s="25">
        <f>$P$5*'Normalized Score Calculator'!S5
+$P$6*'Normalized Score Calculator'!U5</f>
        <v>0</v>
      </c>
      <c r="F4" s="50">
        <f t="shared" ref="F4:F30" si="2">C4*$L$17+D4*$L$18+E4*$L$19</f>
        <v>0.7575444191505657</v>
      </c>
      <c r="G4">
        <f t="shared" si="0"/>
        <v>28</v>
      </c>
      <c r="H4" s="25">
        <f t="shared" si="1"/>
        <v>18.719072775470803</v>
      </c>
      <c r="J4" s="10" t="s">
        <v>167</v>
      </c>
      <c r="K4" s="10" t="s">
        <v>31</v>
      </c>
      <c r="L4" s="10" t="s">
        <v>4</v>
      </c>
      <c r="M4" s="10" t="s">
        <v>6</v>
      </c>
      <c r="N4" s="77" t="s">
        <v>5</v>
      </c>
      <c r="O4" s="78" t="s">
        <v>169</v>
      </c>
      <c r="P4" s="79" t="s">
        <v>170</v>
      </c>
    </row>
    <row r="5" spans="1:16" x14ac:dyDescent="0.25">
      <c r="A5" s="15" t="s">
        <v>70</v>
      </c>
      <c r="B5" s="15" t="s">
        <v>99</v>
      </c>
      <c r="C5" s="25">
        <f>$L$5*'Normalized Score Calculator'!C6
+$L$7*'Normalized Score Calculator'!E6
+$L$6*'Normalized Score Calculator'!G6
+$L$8*'Normalized Score Calculator'!I6</f>
        <v>0.27256002637347876</v>
      </c>
      <c r="D5" s="25">
        <f>$M$5*'Normalized Score Calculator'!K6
+$M$7*'Normalized Score Calculator'!M6
+$M$6*'Normalized Score Calculator'!O6
+$M$8*'Normalized Score Calculator'!Q6</f>
        <v>0.74510025470553687</v>
      </c>
      <c r="E5" s="25">
        <f>$P$5*'Normalized Score Calculator'!S6
+$P$6*'Normalized Score Calculator'!U6</f>
        <v>0</v>
      </c>
      <c r="F5" s="50">
        <f t="shared" si="2"/>
        <v>1.0176602810790156</v>
      </c>
      <c r="G5">
        <f t="shared" si="0"/>
        <v>23</v>
      </c>
      <c r="H5" s="25">
        <f t="shared" si="1"/>
        <v>25.146587290002795</v>
      </c>
      <c r="I5" s="2"/>
      <c r="J5" s="9" t="s">
        <v>165</v>
      </c>
      <c r="K5" s="9" t="s">
        <v>0</v>
      </c>
      <c r="L5" s="73">
        <v>0.12121212121212099</v>
      </c>
      <c r="M5" s="73">
        <v>0.25</v>
      </c>
      <c r="N5" s="73" t="s">
        <v>168</v>
      </c>
      <c r="O5" s="8" t="s">
        <v>111</v>
      </c>
      <c r="P5" s="73">
        <v>0.6</v>
      </c>
    </row>
    <row r="6" spans="1:16" ht="15.75" thickBot="1" x14ac:dyDescent="0.3">
      <c r="A6" s="15" t="s">
        <v>33</v>
      </c>
      <c r="B6" s="15" t="s">
        <v>72</v>
      </c>
      <c r="C6" s="25">
        <f>$L$5*'Normalized Score Calculator'!C7
+$L$7*'Normalized Score Calculator'!E7
+$L$6*'Normalized Score Calculator'!G7
+$L$8*'Normalized Score Calculator'!I7</f>
        <v>0.90966403130570106</v>
      </c>
      <c r="D6" s="25">
        <f>$M$5*'Normalized Score Calculator'!K7
+$M$7*'Normalized Score Calculator'!M7
+$M$6*'Normalized Score Calculator'!O7
+$M$8*'Normalized Score Calculator'!Q7</f>
        <v>0.63352075404555208</v>
      </c>
      <c r="E6" s="25">
        <f>$P$5*'Normalized Score Calculator'!S7
+$P$6*'Normalized Score Calculator'!U7</f>
        <v>0.37050691244239636</v>
      </c>
      <c r="F6" s="50">
        <f t="shared" si="2"/>
        <v>1.9136916977936493</v>
      </c>
      <c r="G6">
        <f t="shared" si="0"/>
        <v>15</v>
      </c>
      <c r="H6" s="25">
        <f t="shared" si="1"/>
        <v>47.287701229429416</v>
      </c>
      <c r="J6" s="6" t="s">
        <v>165</v>
      </c>
      <c r="K6" s="6" t="s">
        <v>1</v>
      </c>
      <c r="L6" s="73">
        <v>0.21212121212121213</v>
      </c>
      <c r="M6" s="74">
        <v>0.25</v>
      </c>
      <c r="N6" s="75" t="s">
        <v>168</v>
      </c>
      <c r="O6" s="7" t="s">
        <v>117</v>
      </c>
      <c r="P6" s="75">
        <v>0.4</v>
      </c>
    </row>
    <row r="7" spans="1:16" x14ac:dyDescent="0.25">
      <c r="A7" s="15" t="s">
        <v>45</v>
      </c>
      <c r="B7" s="15" t="s">
        <v>73</v>
      </c>
      <c r="C7" s="25">
        <f>$L$5*'Normalized Score Calculator'!C8
+$L$7*'Normalized Score Calculator'!E8
+$L$6*'Normalized Score Calculator'!G8
+$L$8*'Normalized Score Calculator'!I8</f>
        <v>1.1692167037310717</v>
      </c>
      <c r="D7" s="25">
        <f>$M$5*'Normalized Score Calculator'!K8
+$M$7*'Normalized Score Calculator'!M8
+$M$6*'Normalized Score Calculator'!O8
+$M$8*'Normalized Score Calculator'!Q8</f>
        <v>0.80568075761591984</v>
      </c>
      <c r="E7" s="25">
        <f>$P$5*'Normalized Score Calculator'!S8
+$P$6*'Normalized Score Calculator'!U8</f>
        <v>0.55299539170506917</v>
      </c>
      <c r="F7" s="50">
        <f t="shared" si="2"/>
        <v>2.5278928530520606</v>
      </c>
      <c r="G7">
        <f t="shared" si="0"/>
        <v>10</v>
      </c>
      <c r="H7" s="25">
        <f t="shared" si="1"/>
        <v>62.46473353725413</v>
      </c>
      <c r="J7" s="6" t="s">
        <v>165</v>
      </c>
      <c r="K7" s="6" t="s">
        <v>2</v>
      </c>
      <c r="L7" s="73">
        <v>0.36363636363636365</v>
      </c>
      <c r="M7" s="73">
        <v>0.25</v>
      </c>
      <c r="N7" s="33"/>
    </row>
    <row r="8" spans="1:16" ht="15.75" thickBot="1" x14ac:dyDescent="0.3">
      <c r="A8" s="15" t="s">
        <v>34</v>
      </c>
      <c r="B8" s="15" t="s">
        <v>74</v>
      </c>
      <c r="C8" s="25">
        <f>$L$5*'Normalized Score Calculator'!C9
+$L$7*'Normalized Score Calculator'!E9
+$L$6*'Normalized Score Calculator'!G9
+$L$8*'Normalized Score Calculator'!I9</f>
        <v>1.0999425195471517</v>
      </c>
      <c r="D8" s="25">
        <f>$M$5*'Normalized Score Calculator'!K9
+$M$7*'Normalized Score Calculator'!M9
+$M$6*'Normalized Score Calculator'!O9
+$M$8*'Normalized Score Calculator'!Q9</f>
        <v>0.94966280077648235</v>
      </c>
      <c r="E8" s="25">
        <f>$P$5*'Normalized Score Calculator'!S9
+$P$6*'Normalized Score Calculator'!U9</f>
        <v>1.9973067689505781</v>
      </c>
      <c r="F8" s="50">
        <f t="shared" si="2"/>
        <v>4.046912089274212</v>
      </c>
      <c r="G8">
        <f t="shared" si="0"/>
        <v>1</v>
      </c>
      <c r="H8" s="25">
        <f t="shared" si="1"/>
        <v>100</v>
      </c>
      <c r="J8" s="7" t="s">
        <v>165</v>
      </c>
      <c r="K8" s="7" t="s">
        <v>3</v>
      </c>
      <c r="L8" s="75">
        <v>0.30303030303030304</v>
      </c>
      <c r="M8" s="75">
        <v>0.25</v>
      </c>
      <c r="N8" s="33"/>
    </row>
    <row r="9" spans="1:16" x14ac:dyDescent="0.25">
      <c r="A9" s="15" t="s">
        <v>35</v>
      </c>
      <c r="B9" s="15" t="s">
        <v>75</v>
      </c>
      <c r="C9" s="25">
        <f>$L$5*'Normalized Score Calculator'!C10
+$L$7*'Normalized Score Calculator'!E10
+$L$6*'Normalized Score Calculator'!G10
+$L$8*'Normalized Score Calculator'!I10</f>
        <v>0.23804479586953881</v>
      </c>
      <c r="D9" s="25">
        <f>$M$5*'Normalized Score Calculator'!K10
+$M$7*'Normalized Score Calculator'!M10
+$M$6*'Normalized Score Calculator'!O10
+$M$8*'Normalized Score Calculator'!Q10</f>
        <v>0.65696586463819451</v>
      </c>
      <c r="E9" s="25">
        <f>$P$5*'Normalized Score Calculator'!S10
+$P$6*'Normalized Score Calculator'!U10</f>
        <v>0</v>
      </c>
      <c r="F9" s="50">
        <f t="shared" si="2"/>
        <v>0.8950106605077333</v>
      </c>
      <c r="G9">
        <f t="shared" si="0"/>
        <v>25</v>
      </c>
      <c r="H9" s="25">
        <f t="shared" si="1"/>
        <v>22.115890851195825</v>
      </c>
      <c r="I9" s="2"/>
      <c r="J9" s="9" t="s">
        <v>166</v>
      </c>
      <c r="K9" s="9" t="s">
        <v>0</v>
      </c>
      <c r="L9" s="73">
        <v>7.8947368421052627E-2</v>
      </c>
      <c r="M9" s="73">
        <v>0.25</v>
      </c>
      <c r="N9" s="33"/>
    </row>
    <row r="10" spans="1:16" x14ac:dyDescent="0.25">
      <c r="A10" s="15" t="s">
        <v>36</v>
      </c>
      <c r="B10" s="15" t="s">
        <v>76</v>
      </c>
      <c r="C10" s="25">
        <f>$L$5*'Normalized Score Calculator'!C11
+$L$7*'Normalized Score Calculator'!E11
+$L$6*'Normalized Score Calculator'!G11
+$L$8*'Normalized Score Calculator'!I11</f>
        <v>0.6383556350768228</v>
      </c>
      <c r="D10" s="25">
        <f>$M$5*'Normalized Score Calculator'!K11
+$M$7*'Normalized Score Calculator'!M11
+$M$6*'Normalized Score Calculator'!O11
+$M$8*'Normalized Score Calculator'!Q11</f>
        <v>0.70979214631612608</v>
      </c>
      <c r="E10" s="25">
        <f>$P$5*'Normalized Score Calculator'!S11
+$P$6*'Normalized Score Calculator'!U11</f>
        <v>2.338177102017164</v>
      </c>
      <c r="F10" s="50">
        <f t="shared" si="2"/>
        <v>3.686324883410113</v>
      </c>
      <c r="G10">
        <f t="shared" si="0"/>
        <v>2</v>
      </c>
      <c r="H10" s="25">
        <f t="shared" si="1"/>
        <v>91.08981865902682</v>
      </c>
      <c r="J10" s="6" t="s">
        <v>166</v>
      </c>
      <c r="K10" s="6" t="s">
        <v>1</v>
      </c>
      <c r="L10" s="73">
        <v>0.23684210526315791</v>
      </c>
      <c r="M10" s="74">
        <v>0.25</v>
      </c>
      <c r="N10" s="33"/>
    </row>
    <row r="11" spans="1:16" x14ac:dyDescent="0.25">
      <c r="A11" s="15" t="s">
        <v>11</v>
      </c>
      <c r="B11" s="15" t="s">
        <v>77</v>
      </c>
      <c r="C11" s="25">
        <f>$L$9*'Normalized Score Calculator'!C19
+$L$11*'Normalized Score Calculator'!E19
+$L$10*'Normalized Score Calculator'!G19
+$L$12*'Normalized Score Calculator'!I19</f>
        <v>0.9937298453115448</v>
      </c>
      <c r="D11" s="25">
        <f>$M$9*'Normalized Score Calculator'!K19
+$M$11*'Normalized Score Calculator'!M19
+$M$10*'Normalized Score Calculator'!O19
+$M$12*'Normalized Score Calculator'!Q19</f>
        <v>0.71537153701923184</v>
      </c>
      <c r="E11" s="25">
        <f>$P$5*'Normalized Score Calculator'!S19
+$P$6*'Normalized Score Calculator'!U19</f>
        <v>1.9259259259259256</v>
      </c>
      <c r="F11" s="50">
        <f t="shared" si="2"/>
        <v>3.6350273082567024</v>
      </c>
      <c r="G11">
        <f t="shared" si="0"/>
        <v>3</v>
      </c>
      <c r="H11" s="25">
        <f t="shared" si="1"/>
        <v>89.82224540757497</v>
      </c>
      <c r="J11" s="6" t="s">
        <v>166</v>
      </c>
      <c r="K11" s="6" t="s">
        <v>2</v>
      </c>
      <c r="L11" s="73">
        <v>0.34210526315789475</v>
      </c>
      <c r="M11" s="73">
        <v>0.25</v>
      </c>
      <c r="N11" s="33"/>
    </row>
    <row r="12" spans="1:16" ht="15.75" thickBot="1" x14ac:dyDescent="0.3">
      <c r="A12" s="15" t="s">
        <v>12</v>
      </c>
      <c r="B12" s="15" t="s">
        <v>78</v>
      </c>
      <c r="C12" s="25">
        <f>$L$9*'Normalized Score Calculator'!C20
+$L$11*'Normalized Score Calculator'!E20
+$L$10*'Normalized Score Calculator'!G20
+$L$12*'Normalized Score Calculator'!I20</f>
        <v>0.001960523029119126</v>
      </c>
      <c r="D12" s="25">
        <f>$M$9*'Normalized Score Calculator'!K20
+$M$11*'Normalized Score Calculator'!M20
+$M$10*'Normalized Score Calculator'!O20
+$M$12*'Normalized Score Calculator'!Q20</f>
        <v>0.79035786620971882</v>
      </c>
      <c r="E12" s="25">
        <f>$P$5*'Normalized Score Calculator'!S20
+$P$6*'Normalized Score Calculator'!U20</f>
        <v>0</v>
      </c>
      <c r="F12" s="50">
        <f t="shared" si="2"/>
        <v>0.7923183892388379</v>
      </c>
      <c r="G12">
        <f t="shared" si="0"/>
        <v>26</v>
      </c>
      <c r="H12" s="25">
        <f t="shared" si="1"/>
        <v>19.578344470065698</v>
      </c>
      <c r="J12" s="7" t="s">
        <v>166</v>
      </c>
      <c r="K12" s="7" t="s">
        <v>3</v>
      </c>
      <c r="L12" s="75">
        <v>0.34210526315789475</v>
      </c>
      <c r="M12" s="75">
        <v>0.25</v>
      </c>
      <c r="N12" s="33"/>
    </row>
    <row r="13" spans="1:16" x14ac:dyDescent="0.25">
      <c r="A13" s="15" t="s">
        <v>13</v>
      </c>
      <c r="B13" s="15" t="s">
        <v>79</v>
      </c>
      <c r="C13" s="25">
        <f>$L$9*'Normalized Score Calculator'!C21
+$L$11*'Normalized Score Calculator'!E21
+$L$10*'Normalized Score Calculator'!G21
+$L$12*'Normalized Score Calculator'!I21</f>
        <v>1.2193204085736402</v>
      </c>
      <c r="D13" s="25">
        <f>$M$9*'Normalized Score Calculator'!K21
+$M$11*'Normalized Score Calculator'!M21
+$M$10*'Normalized Score Calculator'!O21
+$M$12*'Normalized Score Calculator'!Q21</f>
        <v>1.0226839468159812</v>
      </c>
      <c r="E13" s="25">
        <f>$P$5*'Normalized Score Calculator'!S21
+$P$6*'Normalized Score Calculator'!U21</f>
        <v>0.59259259259259245</v>
      </c>
      <c r="F13" s="50">
        <f t="shared" si="2"/>
        <v>2.834596947982214</v>
      </c>
      <c r="G13">
        <f t="shared" si="0"/>
        <v>8</v>
      </c>
      <c r="H13" s="25">
        <f t="shared" si="1"/>
        <v>70.04345252507278</v>
      </c>
    </row>
    <row r="14" spans="1:16" x14ac:dyDescent="0.25">
      <c r="A14" s="15" t="s">
        <v>14</v>
      </c>
      <c r="B14" s="15" t="s">
        <v>80</v>
      </c>
      <c r="C14" s="25">
        <f>$L$9*'Normalized Score Calculator'!C22
+$L$11*'Normalized Score Calculator'!E22
+$L$10*'Normalized Score Calculator'!G22
+$L$12*'Normalized Score Calculator'!I22</f>
        <v>0.001307355087426104</v>
      </c>
      <c r="D14" s="25">
        <f>$M$9*'Normalized Score Calculator'!K22
+$M$11*'Normalized Score Calculator'!M22
+$M$10*'Normalized Score Calculator'!O22
+$M$12*'Normalized Score Calculator'!Q22</f>
        <v>0.77395158443445566</v>
      </c>
      <c r="E14" s="25">
        <f>$P$5*'Normalized Score Calculator'!S22
+$P$6*'Normalized Score Calculator'!U22</f>
        <v>0</v>
      </c>
      <c r="F14" s="50">
        <f t="shared" si="2"/>
        <v>0.7752589395218817</v>
      </c>
      <c r="G14">
        <f t="shared" si="0"/>
        <v>27</v>
      </c>
      <c r="H14" s="25">
        <f t="shared" si="1"/>
        <v>19.156802085634617</v>
      </c>
    </row>
    <row r="15" spans="1:16" ht="15.75" thickBot="1" x14ac:dyDescent="0.3">
      <c r="A15" s="15" t="s">
        <v>15</v>
      </c>
      <c r="B15" s="15" t="s">
        <v>81</v>
      </c>
      <c r="C15" s="25">
        <f>$L$9*'Normalized Score Calculator'!C23
+$L$11*'Normalized Score Calculator'!E23
+$L$10*'Normalized Score Calculator'!G23
+$L$12*'Normalized Score Calculator'!I23</f>
        <v>1.3927453011784061</v>
      </c>
      <c r="D15" s="25">
        <f>$M$9*'Normalized Score Calculator'!K23
+$M$11*'Normalized Score Calculator'!M23
+$M$10*'Normalized Score Calculator'!O23
+$M$12*'Normalized Score Calculator'!Q23</f>
        <v>0.81572700529201969</v>
      </c>
      <c r="E15" s="25">
        <f>$P$5*'Normalized Score Calculator'!S23
+$P$6*'Normalized Score Calculator'!U23</f>
        <v>0.19555555555555557</v>
      </c>
      <c r="F15" s="50">
        <f t="shared" si="2"/>
        <v>2.4040278620259814</v>
      </c>
      <c r="G15">
        <f t="shared" si="0"/>
        <v>12</v>
      </c>
      <c r="H15" s="25">
        <f t="shared" si="1"/>
        <v>59.40400505356983</v>
      </c>
    </row>
    <row r="16" spans="1:16" ht="16.5" thickBot="1" x14ac:dyDescent="0.3">
      <c r="A16" s="15" t="s">
        <v>16</v>
      </c>
      <c r="B16" s="15" t="s">
        <v>82</v>
      </c>
      <c r="C16" s="25">
        <f>$L$9*'Normalized Score Calculator'!C24
+$L$11*'Normalized Score Calculator'!E24
+$L$10*'Normalized Score Calculator'!G24
+$L$12*'Normalized Score Calculator'!I24</f>
        <v>0.5145856409078179</v>
      </c>
      <c r="D16" s="25">
        <f>$M$9*'Normalized Score Calculator'!K24
+$M$11*'Normalized Score Calculator'!M24
+$M$10*'Normalized Score Calculator'!O24
+$M$12*'Normalized Score Calculator'!Q24</f>
        <v>0.81510270469548718</v>
      </c>
      <c r="E16" s="25">
        <f>$P$5*'Normalized Score Calculator'!S24
+$P$6*'Normalized Score Calculator'!U24</f>
        <v>1.7303703703703701</v>
      </c>
      <c r="F16" s="50">
        <f t="shared" si="2"/>
        <v>3.060058715973675</v>
      </c>
      <c r="G16">
        <f t="shared" si="0"/>
        <v>6</v>
      </c>
      <c r="H16" s="25">
        <f t="shared" si="1"/>
        <v>75.61465750847277</v>
      </c>
      <c r="K16" s="12" t="s">
        <v>10</v>
      </c>
      <c r="L16" s="14"/>
      <c r="P16" s="76"/>
    </row>
    <row r="17" spans="1:16" x14ac:dyDescent="0.25">
      <c r="A17" s="15" t="s">
        <v>17</v>
      </c>
      <c r="B17" s="15" t="s">
        <v>83</v>
      </c>
      <c r="C17" s="25">
        <f>$L$9*'Normalized Score Calculator'!C25
+$L$11*'Normalized Score Calculator'!E25
+$L$10*'Normalized Score Calculator'!G25
+$L$12*'Normalized Score Calculator'!I25</f>
        <v>0.820213762298155</v>
      </c>
      <c r="D17" s="25">
        <f>$M$9*'Normalized Score Calculator'!K25
+$M$11*'Normalized Score Calculator'!M25
+$M$10*'Normalized Score Calculator'!O25
+$M$12*'Normalized Score Calculator'!Q25</f>
        <v>0.55042519917735389</v>
      </c>
      <c r="E17" s="25">
        <f>$P$5*'Normalized Score Calculator'!S25
+$P$6*'Normalized Score Calculator'!U25</f>
        <v>0.19555555555555557</v>
      </c>
      <c r="F17" s="50">
        <f t="shared" si="2"/>
        <v>1.5661945170310645</v>
      </c>
      <c r="G17">
        <f t="shared" si="0"/>
        <v>17</v>
      </c>
      <c r="H17" s="25">
        <f t="shared" si="1"/>
        <v>38.7009770037271</v>
      </c>
      <c r="J17" s="2"/>
      <c r="K17" s="9" t="s">
        <v>4</v>
      </c>
      <c r="L17" s="8">
        <v>1</v>
      </c>
      <c r="P17" s="76"/>
    </row>
    <row r="18" spans="1:16" x14ac:dyDescent="0.25">
      <c r="A18" s="15" t="s">
        <v>18</v>
      </c>
      <c r="B18" s="15" t="s">
        <v>84</v>
      </c>
      <c r="C18" s="25">
        <f>$L$9*'Normalized Score Calculator'!C26
+$L$11*'Normalized Score Calculator'!E26
+$L$10*'Normalized Score Calculator'!G26
+$L$12*'Normalized Score Calculator'!I26</f>
        <v>0.020267355670452843</v>
      </c>
      <c r="D18" s="25">
        <f>$M$9*'Normalized Score Calculator'!K26
+$M$11*'Normalized Score Calculator'!M26
+$M$10*'Normalized Score Calculator'!O26
+$M$12*'Normalized Score Calculator'!Q26</f>
        <v>1.2065325160734291E-4</v>
      </c>
      <c r="E18" s="25">
        <f>$P$5*'Normalized Score Calculator'!S26
+$P$6*'Normalized Score Calculator'!U26</f>
        <v>0</v>
      </c>
      <c r="F18" s="50">
        <f t="shared" si="2"/>
        <v>0.020388008922060188</v>
      </c>
      <c r="G18">
        <f t="shared" si="0"/>
        <v>29</v>
      </c>
      <c r="H18" s="25">
        <f t="shared" si="1"/>
        <v>0.5037917422544419</v>
      </c>
      <c r="K18" s="6" t="s">
        <v>6</v>
      </c>
      <c r="L18" s="6">
        <v>1</v>
      </c>
      <c r="P18" s="76"/>
    </row>
    <row r="19" spans="1:16" ht="15.75" thickBot="1" x14ac:dyDescent="0.3">
      <c r="A19" s="15" t="s">
        <v>19</v>
      </c>
      <c r="B19" s="15" t="s">
        <v>85</v>
      </c>
      <c r="C19" s="25">
        <f>$L$9*'Normalized Score Calculator'!C27
+$L$11*'Normalized Score Calculator'!E27
+$L$10*'Normalized Score Calculator'!G27
+$L$12*'Normalized Score Calculator'!I27</f>
        <v>0.7497305492989854</v>
      </c>
      <c r="D19" s="25">
        <f>$M$9*'Normalized Score Calculator'!K27
+$M$11*'Normalized Score Calculator'!M27
+$M$10*'Normalized Score Calculator'!O27
+$M$12*'Normalized Score Calculator'!Q27</f>
        <v>0.53385871165597154</v>
      </c>
      <c r="E19" s="25">
        <f>$P$5*'Normalized Score Calculator'!S27
+$P$6*'Normalized Score Calculator'!U27</f>
        <v>0.19555555555555557</v>
      </c>
      <c r="F19" s="50">
        <f t="shared" si="2"/>
        <v>1.4791448165105123</v>
      </c>
      <c r="G19">
        <f t="shared" si="0"/>
        <v>18</v>
      </c>
      <c r="H19" s="25">
        <f t="shared" si="1"/>
        <v>36.54996164682657</v>
      </c>
      <c r="K19" s="7" t="s">
        <v>5</v>
      </c>
      <c r="L19" s="7">
        <v>1</v>
      </c>
      <c r="P19" s="76"/>
    </row>
    <row r="20" spans="1:16" x14ac:dyDescent="0.25">
      <c r="A20" s="15" t="s">
        <v>20</v>
      </c>
      <c r="B20" s="15" t="s">
        <v>86</v>
      </c>
      <c r="C20" s="25">
        <f>$L$9*'Normalized Score Calculator'!C28
+$L$11*'Normalized Score Calculator'!E28
+$L$10*'Normalized Score Calculator'!G28
+$L$12*'Normalized Score Calculator'!I28</f>
        <v>0.26192470360552494</v>
      </c>
      <c r="D20" s="25">
        <f>$M$9*'Normalized Score Calculator'!K28
+$M$11*'Normalized Score Calculator'!M28
+$M$10*'Normalized Score Calculator'!O28
+$M$12*'Normalized Score Calculator'!Q28</f>
        <v>0.77868721607051028</v>
      </c>
      <c r="E20" s="25">
        <f>$P$5*'Normalized Score Calculator'!S28
+$P$6*'Normalized Score Calculator'!U28</f>
        <v>0</v>
      </c>
      <c r="F20" s="50">
        <f t="shared" si="2"/>
        <v>1.0406119196760353</v>
      </c>
      <c r="G20">
        <f t="shared" si="0"/>
        <v>22</v>
      </c>
      <c r="H20" s="25">
        <f t="shared" si="1"/>
        <v>25.713726829748417</v>
      </c>
    </row>
    <row r="21" spans="1:16" x14ac:dyDescent="0.25">
      <c r="A21" s="15" t="s">
        <v>21</v>
      </c>
      <c r="B21" s="15" t="s">
        <v>87</v>
      </c>
      <c r="C21" s="25">
        <f>$L$9*'Normalized Score Calculator'!C29
+$L$11*'Normalized Score Calculator'!E29
+$L$10*'Normalized Score Calculator'!G29
+$L$12*'Normalized Score Calculator'!I29</f>
        <v>0.972427623462319</v>
      </c>
      <c r="D21" s="25">
        <f>$M$9*'Normalized Score Calculator'!K29
+$M$11*'Normalized Score Calculator'!M29
+$M$10*'Normalized Score Calculator'!O29
+$M$12*'Normalized Score Calculator'!Q29</f>
        <v>0.64070372854948299</v>
      </c>
      <c r="E21" s="25">
        <f>$P$5*'Normalized Score Calculator'!S29
+$P$6*'Normalized Score Calculator'!U29</f>
        <v>0.39703703703703708</v>
      </c>
      <c r="F21" s="50">
        <f t="shared" si="2"/>
        <v>2.010168389048839</v>
      </c>
      <c r="G21">
        <f t="shared" si="0"/>
        <v>14</v>
      </c>
      <c r="H21" s="25">
        <f t="shared" si="1"/>
        <v>49.671659396222516</v>
      </c>
    </row>
    <row r="22" spans="1:16" x14ac:dyDescent="0.25">
      <c r="A22" s="15" t="s">
        <v>22</v>
      </c>
      <c r="B22" s="15" t="s">
        <v>88</v>
      </c>
      <c r="C22" s="25">
        <f>$L$9*'Normalized Score Calculator'!C30
+$L$11*'Normalized Score Calculator'!E30
+$L$10*'Normalized Score Calculator'!G30
+$L$12*'Normalized Score Calculator'!I30</f>
        <v>0.26323235814980817</v>
      </c>
      <c r="D22" s="25">
        <f>$M$9*'Normalized Score Calculator'!K30
+$M$11*'Normalized Score Calculator'!M30
+$M$10*'Normalized Score Calculator'!O30
+$M$12*'Normalized Score Calculator'!Q30</f>
        <v>0.66994550317418911</v>
      </c>
      <c r="E22" s="25">
        <f>$P$5*'Normalized Score Calculator'!S30
+$P$6*'Normalized Score Calculator'!U30</f>
        <v>0</v>
      </c>
      <c r="F22" s="50">
        <f t="shared" si="2"/>
        <v>0.9331778613239973</v>
      </c>
      <c r="G22">
        <f t="shared" si="0"/>
        <v>24</v>
      </c>
      <c r="H22" s="25">
        <f t="shared" si="1"/>
        <v>23.059009949765347</v>
      </c>
    </row>
    <row r="23" spans="1:16" ht="15.75" thickBot="1" x14ac:dyDescent="0.3">
      <c r="A23" s="15" t="s">
        <v>23</v>
      </c>
      <c r="B23" s="15" t="s">
        <v>89</v>
      </c>
      <c r="C23" s="25">
        <f>$L$9*'Normalized Score Calculator'!C31
+$L$11*'Normalized Score Calculator'!E31
+$L$10*'Normalized Score Calculator'!G31
+$L$12*'Normalized Score Calculator'!I31</f>
        <v>0.32534112354495875</v>
      </c>
      <c r="D23" s="25">
        <f>$M$9*'Normalized Score Calculator'!K31
+$M$11*'Normalized Score Calculator'!M31
+$M$10*'Normalized Score Calculator'!O31
+$M$12*'Normalized Score Calculator'!Q31</f>
        <v>0.84255945726051418</v>
      </c>
      <c r="E23" s="25">
        <f>$P$5*'Normalized Score Calculator'!S31
+$P$6*'Normalized Score Calculator'!U31</f>
        <v>0</v>
      </c>
      <c r="F23" s="50">
        <f t="shared" si="2"/>
        <v>1.167900580805473</v>
      </c>
      <c r="G23">
        <f t="shared" si="0"/>
        <v>21</v>
      </c>
      <c r="H23" s="25">
        <f t="shared" si="1"/>
        <v>28.859054880407065</v>
      </c>
    </row>
    <row r="24" spans="1:16" ht="16.5" thickBot="1" x14ac:dyDescent="0.3">
      <c r="A24" s="15" t="s">
        <v>24</v>
      </c>
      <c r="B24" s="15" t="s">
        <v>90</v>
      </c>
      <c r="C24" s="25">
        <f>$L$9*'Normalized Score Calculator'!C32
+$L$11*'Normalized Score Calculator'!E32
+$L$10*'Normalized Score Calculator'!G32
+$L$12*'Normalized Score Calculator'!I32</f>
        <v>0.44855190499351194</v>
      </c>
      <c r="D24" s="25">
        <f>$M$9*'Normalized Score Calculator'!K32
+$M$11*'Normalized Score Calculator'!M32
+$M$10*'Normalized Score Calculator'!O32
+$M$12*'Normalized Score Calculator'!Q32</f>
        <v>0.69306525448177358</v>
      </c>
      <c r="E24" s="25">
        <f>$P$5*'Normalized Score Calculator'!S32
+$P$6*'Normalized Score Calculator'!U32</f>
        <v>1.7303703703703701</v>
      </c>
      <c r="F24" s="50">
        <f t="shared" si="2"/>
        <v>2.8719875298456556</v>
      </c>
      <c r="G24">
        <f t="shared" si="0"/>
        <v>7</v>
      </c>
      <c r="H24" s="25">
        <f t="shared" si="1"/>
        <v>70.9673812153584</v>
      </c>
      <c r="K24" s="12" t="s">
        <v>7</v>
      </c>
      <c r="L24" s="14"/>
    </row>
    <row r="25" spans="1:16" ht="15.75" thickBot="1" x14ac:dyDescent="0.3">
      <c r="A25" s="15" t="s">
        <v>25</v>
      </c>
      <c r="B25" s="15" t="s">
        <v>91</v>
      </c>
      <c r="C25" s="25">
        <f>$L$9*'Normalized Score Calculator'!C33
+$L$11*'Normalized Score Calculator'!E33
+$L$10*'Normalized Score Calculator'!G33
+$L$12*'Normalized Score Calculator'!I33</f>
        <v>1.253052685390807</v>
      </c>
      <c r="D25" s="25">
        <f>$M$9*'Normalized Score Calculator'!K33
+$M$11*'Normalized Score Calculator'!M33
+$M$10*'Normalized Score Calculator'!O33
+$M$12*'Normalized Score Calculator'!Q33</f>
        <v>0.58807314541948941</v>
      </c>
      <c r="E25" s="25">
        <f>$P$5*'Normalized Score Calculator'!S33
+$P$6*'Normalized Score Calculator'!U33</f>
        <v>0.59259259259259245</v>
      </c>
      <c r="F25" s="50">
        <f t="shared" si="2"/>
        <v>2.433718423402889</v>
      </c>
      <c r="G25">
        <f t="shared" si="0"/>
        <v>11</v>
      </c>
      <c r="H25" s="25">
        <f t="shared" si="1"/>
        <v>60.13766471115415</v>
      </c>
      <c r="K25" s="10" t="s">
        <v>41</v>
      </c>
      <c r="L25" s="10" t="s">
        <v>42</v>
      </c>
    </row>
    <row r="26" spans="1:16" x14ac:dyDescent="0.25">
      <c r="A26" s="15" t="s">
        <v>26</v>
      </c>
      <c r="B26" s="15" t="s">
        <v>92</v>
      </c>
      <c r="C26" s="25">
        <f>$L$9*'Normalized Score Calculator'!C34
+$L$11*'Normalized Score Calculator'!E34
+$L$10*'Normalized Score Calculator'!G34
+$L$12*'Normalized Score Calculator'!I34</f>
        <v>0.6037089050722737</v>
      </c>
      <c r="D26" s="25">
        <f>$M$9*'Normalized Score Calculator'!K34
+$M$11*'Normalized Score Calculator'!M34
+$M$10*'Normalized Score Calculator'!O34
+$M$12*'Normalized Score Calculator'!Q34</f>
        <v>0.69608230083324496</v>
      </c>
      <c r="E26" s="25">
        <f>$P$5*'Normalized Score Calculator'!S34
+$P$6*'Normalized Score Calculator'!U34</f>
        <v>0</v>
      </c>
      <c r="F26" s="50">
        <f t="shared" si="2"/>
        <v>1.2997912059055188</v>
      </c>
      <c r="G26">
        <f t="shared" si="0"/>
        <v>19</v>
      </c>
      <c r="H26" s="25">
        <f t="shared" si="1"/>
        <v>32.1180983730889</v>
      </c>
      <c r="J26" s="2"/>
      <c r="K26" s="9" t="s">
        <v>40</v>
      </c>
      <c r="L26" s="8">
        <v>1</v>
      </c>
    </row>
    <row r="27" spans="1:16" x14ac:dyDescent="0.25">
      <c r="A27" s="15" t="s">
        <v>27</v>
      </c>
      <c r="B27" s="15" t="s">
        <v>93</v>
      </c>
      <c r="C27" s="25">
        <f>$L$9*'Normalized Score Calculator'!C35
+$L$11*'Normalized Score Calculator'!E35
+$L$10*'Normalized Score Calculator'!G35
+$L$12*'Normalized Score Calculator'!I35</f>
        <v>1.1687135931049366</v>
      </c>
      <c r="D27" s="25">
        <f>$M$9*'Normalized Score Calculator'!K35
+$M$11*'Normalized Score Calculator'!M35
+$M$10*'Normalized Score Calculator'!O35
+$M$12*'Normalized Score Calculator'!Q35</f>
        <v>0.62707819686389521</v>
      </c>
      <c r="E27" s="25">
        <f>$P$5*'Normalized Score Calculator'!S35
+$P$6*'Normalized Score Calculator'!U35</f>
        <v>0.59259259259259245</v>
      </c>
      <c r="F27" s="50">
        <f t="shared" si="2"/>
        <v>2.388384382561424</v>
      </c>
      <c r="G27">
        <f t="shared" si="0"/>
        <v>13</v>
      </c>
      <c r="H27" s="25">
        <f t="shared" si="1"/>
        <v>59.017451574782434</v>
      </c>
      <c r="K27" s="6" t="s">
        <v>39</v>
      </c>
      <c r="L27" s="6">
        <v>0.67</v>
      </c>
    </row>
    <row r="28" spans="1:16" x14ac:dyDescent="0.25">
      <c r="A28" s="15" t="s">
        <v>28</v>
      </c>
      <c r="B28" s="15" t="s">
        <v>94</v>
      </c>
      <c r="C28" s="25">
        <f>$L$9*'Normalized Score Calculator'!C36
+$L$11*'Normalized Score Calculator'!E36
+$L$10*'Normalized Score Calculator'!G36
+$L$12*'Normalized Score Calculator'!I36</f>
        <v>0.6108994526184405</v>
      </c>
      <c r="D28" s="25">
        <f>$M$9*'Normalized Score Calculator'!K36
+$M$11*'Normalized Score Calculator'!M36
+$M$10*'Normalized Score Calculator'!O36
+$M$12*'Normalized Score Calculator'!Q36</f>
        <v>0.50177583599462228</v>
      </c>
      <c r="E28" s="25">
        <f>$P$5*'Normalized Score Calculator'!S36
+$P$6*'Normalized Score Calculator'!U36</f>
        <v>1.5288888888888885</v>
      </c>
      <c r="F28" s="50">
        <f t="shared" si="2"/>
        <v>2.641564177501951</v>
      </c>
      <c r="G28">
        <f t="shared" si="0"/>
        <v>9</v>
      </c>
      <c r="H28" s="25">
        <f t="shared" si="1"/>
        <v>65.27357449901262</v>
      </c>
      <c r="K28" s="6" t="s">
        <v>38</v>
      </c>
      <c r="L28" s="6">
        <v>0.33</v>
      </c>
    </row>
    <row r="29" spans="1:16" x14ac:dyDescent="0.25">
      <c r="A29" s="15" t="s">
        <v>29</v>
      </c>
      <c r="B29" s="15" t="s">
        <v>95</v>
      </c>
      <c r="C29" s="25">
        <f>$L$9*'Normalized Score Calculator'!C37
+$L$11*'Normalized Score Calculator'!E37
+$L$10*'Normalized Score Calculator'!G37
+$L$12*'Normalized Score Calculator'!I37</f>
        <v>0.6747433130728396</v>
      </c>
      <c r="D29" s="25">
        <f>$M$9*'Normalized Score Calculator'!K37
+$M$11*'Normalized Score Calculator'!M37
+$M$10*'Normalized Score Calculator'!O37
+$M$12*'Normalized Score Calculator'!Q37</f>
        <v>0.76777715537496138</v>
      </c>
      <c r="E29" s="25">
        <f>$P$5*'Normalized Score Calculator'!S37
+$P$6*'Normalized Score Calculator'!U37</f>
        <v>1.7303703703703701</v>
      </c>
      <c r="F29" s="50">
        <f t="shared" si="2"/>
        <v>3.172890838818171</v>
      </c>
      <c r="G29">
        <f t="shared" si="0"/>
        <v>5</v>
      </c>
      <c r="H29" s="25">
        <f t="shared" si="1"/>
        <v>78.40276163219569</v>
      </c>
      <c r="K29" s="6" t="s">
        <v>37</v>
      </c>
      <c r="L29" s="6">
        <v>0</v>
      </c>
    </row>
    <row r="30" spans="1:16" ht="15.75" thickBot="1" x14ac:dyDescent="0.3">
      <c r="A30" s="15" t="s">
        <v>30</v>
      </c>
      <c r="B30" s="15" t="s">
        <v>96</v>
      </c>
      <c r="C30" s="25">
        <f>$L$9*'Normalized Score Calculator'!C38
+$L$11*'Normalized Score Calculator'!E38
+$L$10*'Normalized Score Calculator'!G38
+$L$12*'Normalized Score Calculator'!I38</f>
        <v>1.0368769289623656</v>
      </c>
      <c r="D30" s="25">
        <f>$M$9*'Normalized Score Calculator'!K38
+$M$11*'Normalized Score Calculator'!M38
+$M$10*'Normalized Score Calculator'!O38
+$M$12*'Normalized Score Calculator'!Q38</f>
        <v>0.50998633075882138</v>
      </c>
      <c r="E30" s="25">
        <f>$P$5*'Normalized Score Calculator'!S38
+$P$6*'Normalized Score Calculator'!U38</f>
        <v>1.9259259259259256</v>
      </c>
      <c r="F30" s="50">
        <f t="shared" si="2"/>
        <v>3.4727891856471125</v>
      </c>
      <c r="G30">
        <f t="shared" si="0"/>
        <v>4</v>
      </c>
      <c r="H30" s="25">
        <f t="shared" si="1"/>
        <v>85.81330923523805</v>
      </c>
      <c r="K30" s="24" t="s">
        <v>71</v>
      </c>
      <c r="L30" s="24">
        <v>0</v>
      </c>
    </row>
    <row r="31" spans="1:16" x14ac:dyDescent="0.25">
      <c r="B31" s="93" t="s">
        <v>174</v>
      </c>
      <c r="C31" s="25">
        <v>19.333333333333325</v>
      </c>
      <c r="D31" s="91">
        <f t="shared" ref="D31:E31" si="3">SUM(D2:D30)</f>
        <v>19.333333333333325</v>
      </c>
      <c r="E31" s="91">
        <f t="shared" si="3"/>
        <v>19.333333333333329</v>
      </c>
      <c r="F31" s="92">
        <f>SUM(F2:F30)</f>
        <v>58.203453216784823</v>
      </c>
    </row>
    <row r="32" spans="1:16" x14ac:dyDescent="0.25">
      <c r="B32" s="22"/>
      <c r="C32" s="45">
        <f t="shared" ref="C32:E32" si="4">C31/$F$31</f>
        <v>0.33216814922173626</v>
      </c>
      <c r="D32" s="45">
        <f t="shared" si="4"/>
        <v>0.33216814922173626</v>
      </c>
      <c r="E32" s="45">
        <f t="shared" si="4"/>
        <v>0.33216814922173632</v>
      </c>
      <c r="F32" s="22"/>
    </row>
    <row r="35" spans="6:6" x14ac:dyDescent="0.25">
      <c r="F35" s="50">
        <f>MAX(F2:F30)</f>
        <v>4.046912089274212</v>
      </c>
    </row>
  </sheetData>
  <conditionalFormatting sqref="C2:C32">
    <cfRule type="colorScale" priority="2">
      <colorScale>
        <cfvo type="min"/>
        <cfvo type="max"/>
        <color rgb="FFFCFCFF"/>
        <color rgb="FF63BE7B"/>
      </colorScale>
    </cfRule>
  </conditionalFormatting>
  <conditionalFormatting sqref="D2:D30">
    <cfRule type="colorScale" priority="3">
      <colorScale>
        <cfvo type="min"/>
        <cfvo type="max"/>
        <color rgb="FFFCFCFF"/>
        <color rgb="FF63BE7B"/>
      </colorScale>
    </cfRule>
  </conditionalFormatting>
  <conditionalFormatting sqref="E2:E30">
    <cfRule type="colorScale" priority="4">
      <colorScale>
        <cfvo type="min"/>
        <cfvo type="max"/>
        <color rgb="FFFCFCFF"/>
        <color rgb="FF63BE7B"/>
      </colorScale>
    </cfRule>
  </conditionalFormatting>
  <conditionalFormatting sqref="F2:F30">
    <cfRule type="colorScale" priority="5">
      <colorScale>
        <cfvo type="min"/>
        <cfvo type="max"/>
        <color rgb="FFFCFCFF"/>
        <color rgb="FF63BE7B"/>
      </colorScale>
    </cfRule>
  </conditionalFormatting>
  <conditionalFormatting sqref="H2:H3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CC48-210C-49DB-B630-96CA1BCFB5CB}">
  <dimension ref="A1:X57"/>
  <sheetViews>
    <sheetView tabSelected="1" topLeftCell="A11" workbookViewId="0">
      <selection activeCell="B25" sqref="B25"/>
    </sheetView>
  </sheetViews>
  <sheetFormatPr defaultRowHeight="15" x14ac:dyDescent="0.25"/>
  <cols>
    <col min="2" max="2" width="10.7109375" customWidth="1"/>
    <col min="3" max="3" width="11.28515625" customWidth="1"/>
    <col min="4" max="4" width="10.140625" customWidth="1"/>
    <col min="5" max="5" width="13" customWidth="1"/>
    <col min="7" max="7" width="10.140625" customWidth="1"/>
    <col min="9" max="9" width="10.42578125" customWidth="1"/>
    <col min="10" max="11" width="10.140625" customWidth="1"/>
    <col min="13" max="13" width="10.5703125" customWidth="1"/>
    <col min="15" max="15" width="10.42578125" customWidth="1"/>
    <col min="17" max="17" width="10.140625" customWidth="1"/>
    <col min="18" max="19" width="11.42578125" customWidth="1"/>
    <col min="21" max="21" width="10.28515625" customWidth="1"/>
  </cols>
  <sheetData>
    <row r="1" spans="1:24" x14ac:dyDescent="0.25">
      <c r="B1" s="38" t="s">
        <v>4</v>
      </c>
      <c r="H1" s="84"/>
      <c r="I1" s="84"/>
      <c r="J1" s="38" t="s">
        <v>6</v>
      </c>
      <c r="R1" s="38" t="s">
        <v>5</v>
      </c>
      <c r="U1" s="42"/>
    </row>
    <row r="2" spans="1:24" s="22" customFormat="1" ht="45" x14ac:dyDescent="0.25">
      <c r="A2" s="22" t="s">
        <v>8</v>
      </c>
      <c r="B2" s="39" t="s">
        <v>0</v>
      </c>
      <c r="C2" s="43" t="s">
        <v>150</v>
      </c>
      <c r="D2" s="40" t="s">
        <v>2</v>
      </c>
      <c r="E2" s="43" t="s">
        <v>151</v>
      </c>
      <c r="F2" s="40" t="s">
        <v>1</v>
      </c>
      <c r="G2" s="40" t="s">
        <v>152</v>
      </c>
      <c r="H2" s="40" t="s">
        <v>144</v>
      </c>
      <c r="I2" s="40" t="s">
        <v>172</v>
      </c>
      <c r="J2" s="39" t="s">
        <v>0</v>
      </c>
      <c r="K2" s="43" t="s">
        <v>150</v>
      </c>
      <c r="L2" s="40" t="s">
        <v>2</v>
      </c>
      <c r="M2" s="43" t="s">
        <v>151</v>
      </c>
      <c r="N2" s="40" t="s">
        <v>1</v>
      </c>
      <c r="O2" s="40" t="s">
        <v>152</v>
      </c>
      <c r="P2" s="40" t="s">
        <v>144</v>
      </c>
      <c r="Q2" s="41" t="s">
        <v>172</v>
      </c>
      <c r="R2" s="40" t="s">
        <v>143</v>
      </c>
      <c r="S2" s="40" t="s">
        <v>148</v>
      </c>
      <c r="T2" s="40" t="s">
        <v>142</v>
      </c>
      <c r="U2" s="41" t="s">
        <v>149</v>
      </c>
      <c r="W2" s="37" t="s">
        <v>153</v>
      </c>
      <c r="X2" s="22" t="s">
        <v>154</v>
      </c>
    </row>
    <row r="3" spans="1:24" x14ac:dyDescent="0.25">
      <c r="A3" t="s">
        <v>32</v>
      </c>
      <c r="B3" s="38">
        <f>_xlfn.XLOOKUP(_xlfn.XLOOKUP($A3, Chinook!$A$3:$A$31, Chinook!$B$3:$B$31),$A$47:$A$51,$B$47:$B$51)</f>
        <v>0</v>
      </c>
      <c r="C3" s="44">
        <f>B3/$B$13*$B$14</f>
        <v>0</v>
      </c>
      <c r="D3">
        <f>_xlfn.XLOOKUP(_xlfn.XLOOKUP($A3, Chinook!$A$3:$A$31, Chinook!$E$3:$E$31),$A$47:$A$51,$B$47:$B$51)</f>
        <v>1</v>
      </c>
      <c r="E3" s="44">
        <f>D3/$D$13*$B$14</f>
        <v>0.90090090090090091</v>
      </c>
      <c r="F3">
        <f>_xlfn.XLOOKUP(_xlfn.XLOOKUP($A3, Chinook!$A$3:$A$31, Chinook!$H$3:$H$31),$A$47:$A$51,$B$47:$B$51)</f>
        <v>0</v>
      </c>
      <c r="G3" s="44">
        <f>F3/$F$13*$B$14</f>
        <v>0</v>
      </c>
      <c r="H3" s="25">
        <f>'Migration Score Calcs'!E2</f>
        <v>0.33817750500037541</v>
      </c>
      <c r="I3" s="44">
        <f>H3/$H$13*$B$14</f>
        <v>1.9224296138394947</v>
      </c>
      <c r="J3" s="38">
        <f>_xlfn.XLOOKUP(_xlfn.XLOOKUP($A3, Steelhead!$A$3:$A$31, Steelhead!$C$3:$C$31),$A$47:$A$51,$B$47:$B$51)</f>
        <v>0</v>
      </c>
      <c r="K3" s="44">
        <f t="shared" ref="K3:K11" si="0">J3/$J$13*$B$14</f>
        <v>0</v>
      </c>
      <c r="L3">
        <f>_xlfn.XLOOKUP(_xlfn.XLOOKUP($A3, Steelhead!$A$3:$A$31, Steelhead!$F$3:$F$31),$A$47:$A$51,$B$47:$B$51)</f>
        <v>0.33</v>
      </c>
      <c r="M3" s="44">
        <f t="shared" ref="M3:M11" si="1">L3/$L$13*$B$14</f>
        <v>0.37148217636022518</v>
      </c>
      <c r="N3">
        <f>_xlfn.XLOOKUP(_xlfn.XLOOKUP($A3, Steelhead!$A$3:$A$31, Steelhead!$I$3:$I$31),$A$47:$A$51,$B$47:$B$51)</f>
        <v>0</v>
      </c>
      <c r="O3" s="44">
        <f t="shared" ref="O3:O11" si="2">N3/$N$13*$B$14</f>
        <v>0</v>
      </c>
      <c r="P3" s="25">
        <f>'Migration Score Calcs'!F2</f>
        <v>0.16661934330698802</v>
      </c>
      <c r="Q3" s="44">
        <f>P3/$P$13*$B$14</f>
        <v>1.9407627269988679</v>
      </c>
      <c r="R3" s="38">
        <f>_xlfn.XLOOKUP(_xlfn.XLOOKUP($A3, 'Bull Trout'!$A$3:$A$31, 'Bull Trout'!$C$3:$C$31),$A$47:$A$51,$B$47:$B$51)</f>
        <v>0</v>
      </c>
      <c r="S3" s="44">
        <f t="shared" ref="S3:S11" si="3">R3/$R$13*$B$14</f>
        <v>0</v>
      </c>
      <c r="T3">
        <f>_xlfn.XLOOKUP(_xlfn.XLOOKUP($A3, 'Bull Trout'!$A$3:$A$31, 'Bull Trout'!$F$3:$F$31),$A$47:$A$51,$B$47:$B$51)</f>
        <v>0.67</v>
      </c>
      <c r="U3" s="88">
        <f t="shared" ref="U3:U11" si="4">T3/$T$13*$B$14</f>
        <v>0.92626728110599088</v>
      </c>
      <c r="W3" s="25">
        <f>SUM(C3,E3,G3,K3, I3,M3,O3,Q3,S3,U3)</f>
        <v>6.0618426992054797</v>
      </c>
      <c r="X3">
        <f t="shared" ref="X3:X11" si="5">RANK(W3,$W$3:$W$38)</f>
        <v>16</v>
      </c>
    </row>
    <row r="4" spans="1:24" x14ac:dyDescent="0.25">
      <c r="A4" t="s">
        <v>68</v>
      </c>
      <c r="B4" s="38">
        <f>_xlfn.XLOOKUP(_xlfn.XLOOKUP($A4, Chinook!$A$3:$A$31, Chinook!$B$3:$B$31),$A$47:$A$51,$B$47:$B$51)</f>
        <v>0</v>
      </c>
      <c r="C4" s="44">
        <f t="shared" ref="C4:C11" si="6">B4/$B$13*$B$14</f>
        <v>0</v>
      </c>
      <c r="D4">
        <f>_xlfn.XLOOKUP(_xlfn.XLOOKUP($A4, Chinook!$A$3:$A$31, Chinook!$E$3:$E$31),$A$47:$A$51,$B$47:$B$51)</f>
        <v>1</v>
      </c>
      <c r="E4" s="44">
        <f t="shared" ref="E4:E11" si="7">D4/$D$13*$B$14</f>
        <v>0.90090090090090091</v>
      </c>
      <c r="F4">
        <f>_xlfn.XLOOKUP(_xlfn.XLOOKUP($A4, Chinook!$A$3:$A$31, Chinook!$H$3:$H$31),$A$47:$A$51,$B$47:$B$51)</f>
        <v>0</v>
      </c>
      <c r="G4" s="44">
        <f t="shared" ref="G4:G11" si="8">F4/$F$13*$B$14</f>
        <v>0</v>
      </c>
      <c r="H4" s="25">
        <f>'Migration Score Calcs'!E3</f>
        <v>0.15433641861787592</v>
      </c>
      <c r="I4" s="44">
        <f t="shared" ref="I4:I11" si="9">H4/$H$13*$B$14</f>
        <v>0.87735256561374309</v>
      </c>
      <c r="J4" s="38">
        <f>_xlfn.XLOOKUP(_xlfn.XLOOKUP($A4, Steelhead!$A$3:$A$31, Steelhead!$C$3:$C$31),$A$47:$A$51,$B$47:$B$51)</f>
        <v>0</v>
      </c>
      <c r="K4" s="44">
        <f t="shared" si="0"/>
        <v>0</v>
      </c>
      <c r="L4">
        <f>_xlfn.XLOOKUP(_xlfn.XLOOKUP($A4, Steelhead!$A$3:$A$31, Steelhead!$F$3:$F$31),$A$47:$A$51,$B$47:$B$51)</f>
        <v>0.33</v>
      </c>
      <c r="M4" s="44">
        <f t="shared" si="1"/>
        <v>0.37148217636022518</v>
      </c>
      <c r="N4">
        <f>_xlfn.XLOOKUP(_xlfn.XLOOKUP($A4, Steelhead!$A$3:$A$31, Steelhead!$I$3:$I$31),$A$47:$A$51,$B$47:$B$51)</f>
        <v>0</v>
      </c>
      <c r="O4" s="44">
        <f t="shared" si="2"/>
        <v>0</v>
      </c>
      <c r="P4" s="25">
        <f>'Migration Score Calcs'!F3</f>
        <v>8.2211680805269055E-2</v>
      </c>
      <c r="Q4" s="44">
        <f t="shared" ref="Q4:Q11" si="10">P4/$P$13*$B$14</f>
        <v>0.95759209383525867</v>
      </c>
      <c r="R4" s="38">
        <f>_xlfn.XLOOKUP(_xlfn.XLOOKUP($A4, 'Bull Trout'!$A$3:$A$31, 'Bull Trout'!$C$3:$C$31),$A$47:$A$51,$B$47:$B$51)</f>
        <v>0</v>
      </c>
      <c r="S4" s="44">
        <f t="shared" si="3"/>
        <v>0</v>
      </c>
      <c r="T4">
        <f>_xlfn.XLOOKUP(_xlfn.XLOOKUP($A4, 'Bull Trout'!$A$3:$A$31, 'Bull Trout'!$F$3:$F$31),$A$47:$A$51,$B$47:$B$51)</f>
        <v>0.67</v>
      </c>
      <c r="U4" s="88">
        <f t="shared" si="4"/>
        <v>0.92626728110599088</v>
      </c>
      <c r="W4" s="25">
        <f t="shared" ref="W4:W38" si="11">SUM(C4,E4,G4,K4, I4,M4,O4,Q4,S4,U4)</f>
        <v>4.0335950178161193</v>
      </c>
      <c r="X4">
        <f t="shared" si="5"/>
        <v>22</v>
      </c>
    </row>
    <row r="5" spans="1:24" x14ac:dyDescent="0.25">
      <c r="A5" t="s">
        <v>69</v>
      </c>
      <c r="B5" s="38">
        <f>_xlfn.XLOOKUP(_xlfn.XLOOKUP($A5, Chinook!$A$3:$A$31, Chinook!$B$3:$B$31),$A$47:$A$51,$B$47:$B$51)</f>
        <v>0</v>
      </c>
      <c r="C5" s="44">
        <f t="shared" si="6"/>
        <v>0</v>
      </c>
      <c r="D5">
        <f>_xlfn.XLOOKUP(_xlfn.XLOOKUP($A5, Chinook!$A$3:$A$31, Chinook!$E$3:$E$31),$A$47:$A$51,$B$47:$B$51)</f>
        <v>0.33</v>
      </c>
      <c r="E5" s="44">
        <f t="shared" si="7"/>
        <v>0.29729729729729731</v>
      </c>
      <c r="F5">
        <f>_xlfn.XLOOKUP(_xlfn.XLOOKUP($A5, Chinook!$A$3:$A$31, Chinook!$H$3:$H$31),$A$47:$A$51,$B$47:$B$51)</f>
        <v>0</v>
      </c>
      <c r="G5" s="44">
        <f t="shared" si="8"/>
        <v>0</v>
      </c>
      <c r="H5" s="25">
        <f>'Migration Score Calcs'!E4</f>
        <v>3.511416399888849E-2</v>
      </c>
      <c r="I5" s="44">
        <f t="shared" si="9"/>
        <v>0.19961265234541531</v>
      </c>
      <c r="J5" s="38">
        <f>_xlfn.XLOOKUP(_xlfn.XLOOKUP($A5, Steelhead!$A$3:$A$31, Steelhead!$C$3:$C$31),$A$47:$A$51,$B$47:$B$51)</f>
        <v>0.67</v>
      </c>
      <c r="K5" s="44">
        <f t="shared" si="0"/>
        <v>0.70899470899470907</v>
      </c>
      <c r="L5">
        <f>_xlfn.XLOOKUP(_xlfn.XLOOKUP($A5, Steelhead!$A$3:$A$31, Steelhead!$F$3:$F$31),$A$47:$A$51,$B$47:$B$51)</f>
        <v>0.67</v>
      </c>
      <c r="M5" s="44">
        <f t="shared" si="1"/>
        <v>0.75422138836772978</v>
      </c>
      <c r="N5">
        <f>_xlfn.XLOOKUP(_xlfn.XLOOKUP($A5, Steelhead!$A$3:$A$31, Steelhead!$I$3:$I$31),$A$47:$A$51,$B$47:$B$51)</f>
        <v>0.33</v>
      </c>
      <c r="O5" s="44">
        <f t="shared" si="2"/>
        <v>0.34920634920634924</v>
      </c>
      <c r="P5" s="25">
        <f>'Migration Score Calcs'!F4</f>
        <v>4.6649510173973563E-2</v>
      </c>
      <c r="Q5" s="44">
        <f t="shared" si="10"/>
        <v>0.54336806748538724</v>
      </c>
      <c r="R5" s="38">
        <f>_xlfn.XLOOKUP(_xlfn.XLOOKUP($A5, 'Bull Trout'!$A$3:$A$31, 'Bull Trout'!$C$3:$C$31),$A$47:$A$51,$B$47:$B$51)</f>
        <v>0</v>
      </c>
      <c r="S5" s="44">
        <f t="shared" si="3"/>
        <v>0</v>
      </c>
      <c r="T5">
        <f>_xlfn.XLOOKUP(_xlfn.XLOOKUP($A5, 'Bull Trout'!$A$3:$A$31, 'Bull Trout'!$F$3:$F$31),$A$47:$A$51,$B$47:$B$51)</f>
        <v>0</v>
      </c>
      <c r="U5" s="88">
        <f t="shared" si="4"/>
        <v>0</v>
      </c>
      <c r="W5" s="25">
        <f t="shared" si="11"/>
        <v>2.852700463696888</v>
      </c>
      <c r="X5">
        <f t="shared" si="5"/>
        <v>28</v>
      </c>
    </row>
    <row r="6" spans="1:24" x14ac:dyDescent="0.25">
      <c r="A6" t="s">
        <v>70</v>
      </c>
      <c r="B6" s="38">
        <f>_xlfn.XLOOKUP(_xlfn.XLOOKUP($A6, Chinook!$A$3:$A$31, Chinook!$B$3:$B$31),$A$47:$A$51,$B$47:$B$51)</f>
        <v>0</v>
      </c>
      <c r="C6" s="44">
        <f t="shared" si="6"/>
        <v>0</v>
      </c>
      <c r="D6">
        <f>_xlfn.XLOOKUP(_xlfn.XLOOKUP($A6, Chinook!$A$3:$A$31, Chinook!$E$3:$E$31),$A$47:$A$51,$B$47:$B$51)</f>
        <v>0.33</v>
      </c>
      <c r="E6" s="44">
        <f t="shared" si="7"/>
        <v>0.29729729729729731</v>
      </c>
      <c r="F6">
        <f>_xlfn.XLOOKUP(_xlfn.XLOOKUP($A6, Chinook!$A$3:$A$31, Chinook!$H$3:$H$31),$A$47:$A$51,$B$47:$B$51)</f>
        <v>0.33</v>
      </c>
      <c r="G6" s="44">
        <f t="shared" si="8"/>
        <v>0.495</v>
      </c>
      <c r="H6" s="25">
        <f>'Migration Score Calcs'!E5</f>
        <v>3.4512314051820508E-2</v>
      </c>
      <c r="I6" s="44">
        <f t="shared" si="9"/>
        <v>0.19619133027572314</v>
      </c>
      <c r="J6" s="38">
        <f>_xlfn.XLOOKUP(_xlfn.XLOOKUP($A6, Steelhead!$A$3:$A$31, Steelhead!$C$3:$C$31),$A$47:$A$51,$B$47:$B$51)</f>
        <v>1</v>
      </c>
      <c r="K6" s="44">
        <f t="shared" si="0"/>
        <v>1.0582010582010581</v>
      </c>
      <c r="L6">
        <f>_xlfn.XLOOKUP(_xlfn.XLOOKUP($A6, Steelhead!$A$3:$A$31, Steelhead!$F$3:$F$31),$A$47:$A$51,$B$47:$B$51)</f>
        <v>0.67</v>
      </c>
      <c r="M6" s="44">
        <f t="shared" si="1"/>
        <v>0.75422138836772978</v>
      </c>
      <c r="N6">
        <f>_xlfn.XLOOKUP(_xlfn.XLOOKUP($A6, Steelhead!$A$3:$A$31, Steelhead!$I$3:$I$31),$A$47:$A$51,$B$47:$B$51)</f>
        <v>1</v>
      </c>
      <c r="O6" s="44">
        <f t="shared" si="2"/>
        <v>1.0582010582010581</v>
      </c>
      <c r="P6" s="25">
        <f>'Migration Score Calcs'!F5</f>
        <v>9.4246746636322716E-3</v>
      </c>
      <c r="Q6" s="88">
        <f t="shared" si="10"/>
        <v>0.10977751405230138</v>
      </c>
      <c r="R6">
        <f>_xlfn.XLOOKUP(_xlfn.XLOOKUP($A6, 'Bull Trout'!$A$3:$A$31, 'Bull Trout'!$C$3:$C$31),$A$47:$A$51,$B$47:$B$51)</f>
        <v>0</v>
      </c>
      <c r="S6" s="44">
        <f t="shared" si="3"/>
        <v>0</v>
      </c>
      <c r="T6">
        <f>_xlfn.XLOOKUP(_xlfn.XLOOKUP($A6, 'Bull Trout'!$A$3:$A$31, 'Bull Trout'!$F$3:$F$31),$A$47:$A$51,$B$47:$B$51)</f>
        <v>0</v>
      </c>
      <c r="U6" s="88">
        <f t="shared" si="4"/>
        <v>0</v>
      </c>
      <c r="W6" s="25">
        <f t="shared" si="11"/>
        <v>3.9688896463951679</v>
      </c>
      <c r="X6">
        <f t="shared" si="5"/>
        <v>23</v>
      </c>
    </row>
    <row r="7" spans="1:24" x14ac:dyDescent="0.25">
      <c r="A7" t="s">
        <v>33</v>
      </c>
      <c r="B7" s="38">
        <f>_xlfn.XLOOKUP(_xlfn.XLOOKUP($A7, Chinook!$A$3:$A$31, Chinook!$B$3:$B$31),$A$47:$A$51,$B$47:$B$51)</f>
        <v>0.33</v>
      </c>
      <c r="C7" s="44">
        <f t="shared" si="6"/>
        <v>0.744360902255639</v>
      </c>
      <c r="D7">
        <f>_xlfn.XLOOKUP(_xlfn.XLOOKUP($A7, Chinook!$A$3:$A$31, Chinook!$E$3:$E$31),$A$47:$A$51,$B$47:$B$51)</f>
        <v>1</v>
      </c>
      <c r="E7" s="44">
        <f t="shared" si="7"/>
        <v>0.90090090090090091</v>
      </c>
      <c r="F7">
        <f>_xlfn.XLOOKUP(_xlfn.XLOOKUP($A7, Chinook!$A$3:$A$31, Chinook!$H$3:$H$31),$A$47:$A$51,$B$47:$B$51)</f>
        <v>0.67</v>
      </c>
      <c r="G7" s="44">
        <f t="shared" si="8"/>
        <v>1.0050000000000001</v>
      </c>
      <c r="H7" s="25">
        <f>'Migration Score Calcs'!E6</f>
        <v>0.16176222340098365</v>
      </c>
      <c r="I7" s="44">
        <f t="shared" si="9"/>
        <v>0.91956586132547713</v>
      </c>
      <c r="J7" s="38">
        <f>_xlfn.XLOOKUP(_xlfn.XLOOKUP($A7, Steelhead!$A$3:$A$31, Steelhead!$C$3:$C$31),$A$47:$A$51,$B$47:$B$51)</f>
        <v>0.67</v>
      </c>
      <c r="K7" s="44">
        <f t="shared" si="0"/>
        <v>0.70899470899470907</v>
      </c>
      <c r="L7">
        <f>_xlfn.XLOOKUP(_xlfn.XLOOKUP($A7, Steelhead!$A$3:$A$31, Steelhead!$F$3:$F$31),$A$47:$A$51,$B$47:$B$51)</f>
        <v>0.33</v>
      </c>
      <c r="M7" s="44">
        <f t="shared" si="1"/>
        <v>0.37148217636022518</v>
      </c>
      <c r="N7">
        <f>_xlfn.XLOOKUP(_xlfn.XLOOKUP($A7, Steelhead!$A$3:$A$31, Steelhead!$I$3:$I$31),$A$47:$A$51,$B$47:$B$51)</f>
        <v>0.67</v>
      </c>
      <c r="O7" s="44">
        <f t="shared" si="2"/>
        <v>0.70899470899470907</v>
      </c>
      <c r="P7" s="25">
        <f>'Migration Score Calcs'!F6</f>
        <v>6.39267564234796E-2</v>
      </c>
      <c r="Q7" s="44">
        <f t="shared" si="10"/>
        <v>0.74461142183256523</v>
      </c>
      <c r="R7" s="38">
        <f>_xlfn.XLOOKUP(_xlfn.XLOOKUP($A7, 'Bull Trout'!$A$3:$A$31, 'Bull Trout'!$C$3:$C$31),$A$47:$A$51,$B$47:$B$51)</f>
        <v>0</v>
      </c>
      <c r="S7" s="44">
        <f t="shared" si="3"/>
        <v>0</v>
      </c>
      <c r="T7">
        <f>_xlfn.XLOOKUP(_xlfn.XLOOKUP($A7, 'Bull Trout'!$A$3:$A$31, 'Bull Trout'!$F$3:$F$31),$A$47:$A$51,$B$47:$B$51)</f>
        <v>0.67</v>
      </c>
      <c r="U7" s="88">
        <f t="shared" si="4"/>
        <v>0.92626728110599088</v>
      </c>
      <c r="W7" s="25">
        <f t="shared" si="11"/>
        <v>7.0301779617702165</v>
      </c>
      <c r="X7">
        <f t="shared" si="5"/>
        <v>14</v>
      </c>
    </row>
    <row r="8" spans="1:24" x14ac:dyDescent="0.25">
      <c r="A8" t="s">
        <v>45</v>
      </c>
      <c r="B8" s="38">
        <f>_xlfn.XLOOKUP(_xlfn.XLOOKUP($A8, Chinook!$A$3:$A$31, Chinook!$B$3:$B$31),$A$47:$A$51,$B$47:$B$51)</f>
        <v>1</v>
      </c>
      <c r="C8" s="44">
        <f t="shared" si="6"/>
        <v>2.2556390977443606</v>
      </c>
      <c r="D8">
        <f>_xlfn.XLOOKUP(_xlfn.XLOOKUP($A8, Chinook!$A$3:$A$31, Chinook!$E$3:$E$31),$A$47:$A$51,$B$47:$B$51)</f>
        <v>1</v>
      </c>
      <c r="E8" s="44">
        <f t="shared" si="7"/>
        <v>0.90090090090090091</v>
      </c>
      <c r="F8">
        <f>_xlfn.XLOOKUP(_xlfn.XLOOKUP($A8, Chinook!$A$3:$A$31, Chinook!$H$3:$H$31),$A$47:$A$51,$B$47:$B$51)</f>
        <v>1</v>
      </c>
      <c r="G8" s="44">
        <f t="shared" si="8"/>
        <v>1.5</v>
      </c>
      <c r="H8" s="25">
        <f>'Migration Score Calcs'!E7</f>
        <v>0.1451407913478861</v>
      </c>
      <c r="I8" s="44">
        <f t="shared" si="9"/>
        <v>0.82507840213371264</v>
      </c>
      <c r="J8" s="38">
        <f>_xlfn.XLOOKUP(_xlfn.XLOOKUP($A8, Steelhead!$A$3:$A$31, Steelhead!$C$3:$C$31),$A$47:$A$51,$B$47:$B$51)</f>
        <v>0.33</v>
      </c>
      <c r="K8" s="44">
        <f t="shared" si="0"/>
        <v>0.34920634920634924</v>
      </c>
      <c r="L8">
        <f>_xlfn.XLOOKUP(_xlfn.XLOOKUP($A8, Steelhead!$A$3:$A$31, Steelhead!$F$3:$F$31),$A$47:$A$51,$B$47:$B$51)</f>
        <v>1</v>
      </c>
      <c r="M8" s="44">
        <f t="shared" si="1"/>
        <v>1.125703564727955</v>
      </c>
      <c r="N8">
        <f>_xlfn.XLOOKUP(_xlfn.XLOOKUP($A8, Steelhead!$A$3:$A$31, Steelhead!$I$3:$I$31),$A$47:$A$51,$B$47:$B$51)</f>
        <v>1</v>
      </c>
      <c r="O8" s="44">
        <f t="shared" si="2"/>
        <v>1.0582010582010581</v>
      </c>
      <c r="P8" s="25">
        <f>'Migration Score Calcs'!F7</f>
        <v>5.9204923248359326E-2</v>
      </c>
      <c r="Q8" s="44">
        <f t="shared" si="10"/>
        <v>0.68961205832831707</v>
      </c>
      <c r="R8" s="38">
        <f>_xlfn.XLOOKUP(_xlfn.XLOOKUP($A8, 'Bull Trout'!$A$3:$A$31, 'Bull Trout'!$C$3:$C$31),$A$47:$A$51,$B$47:$B$51)</f>
        <v>0</v>
      </c>
      <c r="S8" s="44">
        <f t="shared" si="3"/>
        <v>0</v>
      </c>
      <c r="T8">
        <f>_xlfn.XLOOKUP(_xlfn.XLOOKUP($A8, 'Bull Trout'!$A$3:$A$31, 'Bull Trout'!$F$3:$F$31),$A$47:$A$51,$B$47:$B$51)</f>
        <v>1</v>
      </c>
      <c r="U8" s="88">
        <f t="shared" si="4"/>
        <v>1.3824884792626728</v>
      </c>
      <c r="W8" s="25">
        <f t="shared" si="11"/>
        <v>10.086829910505324</v>
      </c>
      <c r="X8">
        <f t="shared" si="5"/>
        <v>4</v>
      </c>
    </row>
    <row r="9" spans="1:24" x14ac:dyDescent="0.25">
      <c r="A9" t="s">
        <v>34</v>
      </c>
      <c r="B9" s="38">
        <f>_xlfn.XLOOKUP(_xlfn.XLOOKUP($A9, Chinook!$A$3:$A$31, Chinook!$B$3:$B$31),$A$47:$A$51,$B$47:$B$51)</f>
        <v>1</v>
      </c>
      <c r="C9" s="44">
        <f t="shared" si="6"/>
        <v>2.2556390977443606</v>
      </c>
      <c r="D9">
        <f>_xlfn.XLOOKUP(_xlfn.XLOOKUP($A9, Chinook!$A$3:$A$31, Chinook!$E$3:$E$31),$A$47:$A$51,$B$47:$B$51)</f>
        <v>1</v>
      </c>
      <c r="E9" s="44">
        <f t="shared" si="7"/>
        <v>0.90090090090090091</v>
      </c>
      <c r="F9">
        <f>_xlfn.XLOOKUP(_xlfn.XLOOKUP($A9, Chinook!$A$3:$A$31, Chinook!$H$3:$H$31),$A$47:$A$51,$B$47:$B$51)</f>
        <v>1</v>
      </c>
      <c r="G9" s="44">
        <f t="shared" si="8"/>
        <v>1.5</v>
      </c>
      <c r="H9" s="25">
        <f>'Migration Score Calcs'!E8</f>
        <v>0.10492657337147991</v>
      </c>
      <c r="I9" s="44">
        <f t="shared" si="9"/>
        <v>0.59647359432677705</v>
      </c>
      <c r="J9" s="38">
        <f>_xlfn.XLOOKUP(_xlfn.XLOOKUP($A9, Steelhead!$A$3:$A$31, Steelhead!$C$3:$C$31),$A$47:$A$51,$B$47:$B$51)</f>
        <v>1</v>
      </c>
      <c r="K9" s="44">
        <f t="shared" si="0"/>
        <v>1.0582010582010581</v>
      </c>
      <c r="L9">
        <f>_xlfn.XLOOKUP(_xlfn.XLOOKUP($A9, Steelhead!$A$3:$A$31, Steelhead!$F$3:$F$31),$A$47:$A$51,$B$47:$B$51)</f>
        <v>1</v>
      </c>
      <c r="M9" s="44">
        <f t="shared" si="1"/>
        <v>1.125703564727955</v>
      </c>
      <c r="N9">
        <f>_xlfn.XLOOKUP(_xlfn.XLOOKUP($A9, Steelhead!$A$3:$A$31, Steelhead!$I$3:$I$31),$A$47:$A$51,$B$47:$B$51)</f>
        <v>1</v>
      </c>
      <c r="O9" s="44">
        <f t="shared" si="2"/>
        <v>1.0582010582010581</v>
      </c>
      <c r="P9" s="25">
        <f>'Migration Score Calcs'!F8</f>
        <v>4.77808276622557E-2</v>
      </c>
      <c r="Q9" s="44">
        <f t="shared" si="10"/>
        <v>0.55654552197585794</v>
      </c>
      <c r="R9" s="38">
        <f>_xlfn.XLOOKUP(_xlfn.XLOOKUP($A9, 'Bull Trout'!$A$3:$A$31, 'Bull Trout'!$C$3:$C$31),$A$47:$A$51,$B$47:$B$51)</f>
        <v>0.67</v>
      </c>
      <c r="S9" s="44">
        <f t="shared" si="3"/>
        <v>2.4071856287425151</v>
      </c>
      <c r="T9">
        <f>_xlfn.XLOOKUP(_xlfn.XLOOKUP($A9, 'Bull Trout'!$A$3:$A$31, 'Bull Trout'!$F$3:$F$31),$A$47:$A$51,$B$47:$B$51)</f>
        <v>1</v>
      </c>
      <c r="U9" s="88">
        <f t="shared" si="4"/>
        <v>1.3824884792626728</v>
      </c>
      <c r="W9" s="25">
        <f t="shared" si="11"/>
        <v>12.841338904083155</v>
      </c>
      <c r="X9">
        <f t="shared" si="5"/>
        <v>1</v>
      </c>
    </row>
    <row r="10" spans="1:24" x14ac:dyDescent="0.25">
      <c r="A10" t="s">
        <v>35</v>
      </c>
      <c r="B10" s="38">
        <f>_xlfn.XLOOKUP(_xlfn.XLOOKUP($A10, Chinook!$A$3:$A$31, Chinook!$B$3:$B$31),$A$47:$A$51,$B$47:$B$51)</f>
        <v>0</v>
      </c>
      <c r="C10" s="44">
        <f t="shared" si="6"/>
        <v>0</v>
      </c>
      <c r="D10">
        <f>_xlfn.XLOOKUP(_xlfn.XLOOKUP($A10, Chinook!$A$3:$A$31, Chinook!$E$3:$E$31),$A$47:$A$51,$B$47:$B$51)</f>
        <v>0.33</v>
      </c>
      <c r="E10" s="44">
        <f t="shared" si="7"/>
        <v>0.29729729729729731</v>
      </c>
      <c r="F10">
        <f>_xlfn.XLOOKUP(_xlfn.XLOOKUP($A10, Chinook!$A$3:$A$31, Chinook!$H$3:$H$31),$A$47:$A$51,$B$47:$B$51)</f>
        <v>0.33</v>
      </c>
      <c r="G10" s="44">
        <f t="shared" si="8"/>
        <v>0.495</v>
      </c>
      <c r="H10" s="25">
        <f>'Migration Score Calcs'!E9</f>
        <v>1.4475946690116773E-2</v>
      </c>
      <c r="I10" s="44">
        <f t="shared" si="9"/>
        <v>8.2291069612721299E-2</v>
      </c>
      <c r="J10" s="38">
        <f>_xlfn.XLOOKUP(_xlfn.XLOOKUP($A10, Steelhead!$A$3:$A$31, Steelhead!$C$3:$C$31),$A$47:$A$51,$B$47:$B$51)</f>
        <v>1</v>
      </c>
      <c r="K10" s="44">
        <f t="shared" si="0"/>
        <v>1.0582010582010581</v>
      </c>
      <c r="L10">
        <f>_xlfn.XLOOKUP(_xlfn.XLOOKUP($A10, Steelhead!$A$3:$A$31, Steelhead!$F$3:$F$31),$A$47:$A$51,$B$47:$B$51)</f>
        <v>0.67</v>
      </c>
      <c r="M10" s="44">
        <f t="shared" si="1"/>
        <v>0.75422138836772978</v>
      </c>
      <c r="N10">
        <f>_xlfn.XLOOKUP(_xlfn.XLOOKUP($A10, Steelhead!$A$3:$A$31, Steelhead!$I$3:$I$31),$A$47:$A$51,$B$47:$B$51)</f>
        <v>0.67</v>
      </c>
      <c r="O10" s="44">
        <f t="shared" si="2"/>
        <v>0.70899470899470907</v>
      </c>
      <c r="P10" s="25">
        <f>'Migration Score Calcs'!F9</f>
        <v>9.1386818464702802E-3</v>
      </c>
      <c r="Q10" s="44">
        <f t="shared" si="10"/>
        <v>0.10644630298928121</v>
      </c>
      <c r="R10" s="38">
        <f>_xlfn.XLOOKUP(_xlfn.XLOOKUP($A10, 'Bull Trout'!$A$3:$A$31, 'Bull Trout'!$C$3:$C$31),$A$47:$A$51,$B$47:$B$51)</f>
        <v>0</v>
      </c>
      <c r="S10" s="44">
        <f t="shared" si="3"/>
        <v>0</v>
      </c>
      <c r="T10">
        <f>_xlfn.XLOOKUP(_xlfn.XLOOKUP($A10, 'Bull Trout'!$A$3:$A$31, 'Bull Trout'!$F$3:$F$31),$A$47:$A$51,$B$47:$B$51)</f>
        <v>0</v>
      </c>
      <c r="U10" s="88">
        <f t="shared" si="4"/>
        <v>0</v>
      </c>
      <c r="W10" s="25">
        <f t="shared" si="11"/>
        <v>3.502451825462797</v>
      </c>
      <c r="X10">
        <f t="shared" si="5"/>
        <v>25</v>
      </c>
    </row>
    <row r="11" spans="1:24" ht="15.75" thickBot="1" x14ac:dyDescent="0.3">
      <c r="A11" s="4" t="s">
        <v>36</v>
      </c>
      <c r="B11" s="86">
        <f>_xlfn.XLOOKUP(_xlfn.XLOOKUP($A11, Chinook!$A$3:$A$31, Chinook!$B$3:$B$31),$A$47:$A$51,$B$47:$B$51)</f>
        <v>0.33</v>
      </c>
      <c r="C11" s="87">
        <f t="shared" si="6"/>
        <v>0.744360902255639</v>
      </c>
      <c r="D11" s="4">
        <f>_xlfn.XLOOKUP(_xlfn.XLOOKUP($A11, Chinook!$A$3:$A$31, Chinook!$E$3:$E$31),$A$47:$A$51,$B$47:$B$51)</f>
        <v>0.67</v>
      </c>
      <c r="E11" s="87">
        <f t="shared" si="7"/>
        <v>0.60360360360360366</v>
      </c>
      <c r="F11" s="4">
        <f>_xlfn.XLOOKUP(_xlfn.XLOOKUP($A11, Chinook!$A$3:$A$31, Chinook!$H$3:$H$31),$A$47:$A$51,$B$47:$B$51)</f>
        <v>0.67</v>
      </c>
      <c r="G11" s="87">
        <f t="shared" si="8"/>
        <v>1.0050000000000001</v>
      </c>
      <c r="H11" s="67">
        <f>'Migration Score Calcs'!E10</f>
        <v>6.702315086457461E-2</v>
      </c>
      <c r="I11" s="87">
        <f t="shared" si="9"/>
        <v>0.38100491052693564</v>
      </c>
      <c r="J11" s="86">
        <f>_xlfn.XLOOKUP(_xlfn.XLOOKUP($A11, Steelhead!$A$3:$A$31, Steelhead!$C$3:$C$31),$A$47:$A$51,$B$47:$B$51)</f>
        <v>1</v>
      </c>
      <c r="K11" s="87">
        <f t="shared" si="0"/>
        <v>1.0582010582010581</v>
      </c>
      <c r="L11" s="4">
        <f>_xlfn.XLOOKUP(_xlfn.XLOOKUP($A11, Steelhead!$A$3:$A$31, Steelhead!$F$3:$F$31),$A$47:$A$51,$B$47:$B$51)</f>
        <v>0.33</v>
      </c>
      <c r="M11" s="87">
        <f t="shared" si="1"/>
        <v>0.37148217636022518</v>
      </c>
      <c r="N11" s="4">
        <f>_xlfn.XLOOKUP(_xlfn.XLOOKUP($A11, Steelhead!$A$3:$A$31, Steelhead!$I$3:$I$31),$A$47:$A$51,$B$47:$B$51)</f>
        <v>1</v>
      </c>
      <c r="O11" s="87">
        <f t="shared" si="2"/>
        <v>1.0582010582010581</v>
      </c>
      <c r="P11" s="67">
        <f>'Migration Score Calcs'!F10</f>
        <v>3.0158636765082712E-2</v>
      </c>
      <c r="Q11" s="87">
        <f t="shared" si="10"/>
        <v>0.35128429250216264</v>
      </c>
      <c r="R11" s="86">
        <f>_xlfn.XLOOKUP(_xlfn.XLOOKUP($A11, 'Bull Trout'!$A$3:$A$31, 'Bull Trout'!$C$3:$C$31),$A$47:$A$51,$B$47:$B$51)</f>
        <v>1</v>
      </c>
      <c r="S11" s="87">
        <f t="shared" si="3"/>
        <v>3.5928143712574854</v>
      </c>
      <c r="T11" s="4">
        <f>_xlfn.XLOOKUP(_xlfn.XLOOKUP($A11, 'Bull Trout'!$A$3:$A$31, 'Bull Trout'!$F$3:$F$31),$A$47:$A$51,$B$47:$B$51)</f>
        <v>0.33</v>
      </c>
      <c r="U11" s="89">
        <f t="shared" si="4"/>
        <v>0.45622119815668205</v>
      </c>
      <c r="W11" s="25">
        <f t="shared" si="11"/>
        <v>9.6221735710648488</v>
      </c>
      <c r="X11">
        <f t="shared" si="5"/>
        <v>7</v>
      </c>
    </row>
    <row r="12" spans="1:24" x14ac:dyDescent="0.25">
      <c r="C12" s="15"/>
      <c r="E12" s="15"/>
      <c r="G12" s="15"/>
      <c r="I12" s="15"/>
      <c r="K12" s="15"/>
      <c r="M12" s="15"/>
      <c r="O12" s="15"/>
      <c r="Q12" s="15"/>
      <c r="S12" s="15"/>
      <c r="U12" s="15"/>
      <c r="W12" s="25"/>
    </row>
    <row r="13" spans="1:24" x14ac:dyDescent="0.25">
      <c r="A13" t="s">
        <v>145</v>
      </c>
      <c r="B13" s="23">
        <f>SUM(B3:B11)</f>
        <v>2.66</v>
      </c>
      <c r="C13" s="85">
        <f t="shared" ref="C13:U13" si="12">SUM(C3:C11)</f>
        <v>6</v>
      </c>
      <c r="D13" s="23">
        <f>SUM(D3:D11)</f>
        <v>6.66</v>
      </c>
      <c r="E13" s="85">
        <f t="shared" si="12"/>
        <v>6</v>
      </c>
      <c r="F13" s="23">
        <f t="shared" si="12"/>
        <v>4</v>
      </c>
      <c r="G13" s="85">
        <f t="shared" si="12"/>
        <v>6</v>
      </c>
      <c r="H13" s="23">
        <f>SUM(H3:H11)</f>
        <v>1.0554690873440014</v>
      </c>
      <c r="I13" s="85">
        <f>SUM(I3:I11)</f>
        <v>5.9999999999999991</v>
      </c>
      <c r="J13" s="23">
        <f>SUM(J3:J11)</f>
        <v>5.67</v>
      </c>
      <c r="K13" s="85">
        <f t="shared" si="12"/>
        <v>6</v>
      </c>
      <c r="L13" s="23">
        <f t="shared" si="12"/>
        <v>5.33</v>
      </c>
      <c r="M13" s="85">
        <f t="shared" si="12"/>
        <v>5.9999999999999991</v>
      </c>
      <c r="N13" s="23">
        <f t="shared" si="12"/>
        <v>5.67</v>
      </c>
      <c r="O13" s="85">
        <f t="shared" si="12"/>
        <v>6</v>
      </c>
      <c r="P13" s="23">
        <f t="shared" si="12"/>
        <v>0.51511503489551058</v>
      </c>
      <c r="Q13" s="85">
        <f>SUM(Q3:Q11)</f>
        <v>5.9999999999999982</v>
      </c>
      <c r="R13" s="23">
        <f t="shared" si="12"/>
        <v>1.67</v>
      </c>
      <c r="S13" s="85">
        <f t="shared" si="12"/>
        <v>6</v>
      </c>
      <c r="T13" s="23">
        <f t="shared" si="12"/>
        <v>4.34</v>
      </c>
      <c r="U13" s="85">
        <f t="shared" si="12"/>
        <v>6</v>
      </c>
      <c r="W13" s="25"/>
    </row>
    <row r="14" spans="1:24" x14ac:dyDescent="0.25">
      <c r="A14" t="s">
        <v>146</v>
      </c>
      <c r="B14">
        <f>COUNT(B3:B11)/3*1+COUNT(B3:B11)/3*0.67+COUNT(B3:B11)/3*0.33</f>
        <v>6</v>
      </c>
      <c r="W14" s="25"/>
    </row>
    <row r="15" spans="1:24" x14ac:dyDescent="0.25">
      <c r="W15" s="25"/>
    </row>
    <row r="16" spans="1:24" ht="30" x14ac:dyDescent="0.25">
      <c r="A16" s="37" t="s">
        <v>147</v>
      </c>
      <c r="B16" s="45">
        <f>1-(B13/$B$14)</f>
        <v>0.55666666666666664</v>
      </c>
      <c r="C16" s="45"/>
      <c r="D16" s="45">
        <f t="shared" ref="D16:T16" si="13">1-(D13/$B$14)</f>
        <v>-0.1100000000000001</v>
      </c>
      <c r="E16" s="45"/>
      <c r="F16" s="45">
        <f t="shared" si="13"/>
        <v>0.33333333333333337</v>
      </c>
      <c r="G16" s="45"/>
      <c r="H16" s="45"/>
      <c r="I16" s="45"/>
      <c r="J16" s="45">
        <f t="shared" si="13"/>
        <v>5.5000000000000049E-2</v>
      </c>
      <c r="K16" s="45"/>
      <c r="L16" s="45">
        <f t="shared" si="13"/>
        <v>0.11166666666666669</v>
      </c>
      <c r="M16" s="45"/>
      <c r="N16" s="45">
        <f t="shared" si="13"/>
        <v>5.5000000000000049E-2</v>
      </c>
      <c r="O16" s="45"/>
      <c r="P16" s="45">
        <f t="shared" si="13"/>
        <v>0.91414749418408159</v>
      </c>
      <c r="Q16" s="45"/>
      <c r="R16" s="45">
        <f t="shared" si="13"/>
        <v>0.72166666666666668</v>
      </c>
      <c r="S16" s="45"/>
      <c r="T16" s="45">
        <f t="shared" si="13"/>
        <v>0.27666666666666673</v>
      </c>
      <c r="W16" s="25"/>
    </row>
    <row r="17" spans="1:24" x14ac:dyDescent="0.25">
      <c r="W17" s="25"/>
    </row>
    <row r="18" spans="1:24" ht="15.75" thickBot="1" x14ac:dyDescent="0.3">
      <c r="W18" s="25"/>
    </row>
    <row r="19" spans="1:24" x14ac:dyDescent="0.25">
      <c r="A19" s="80" t="s">
        <v>11</v>
      </c>
      <c r="B19" s="81">
        <f>_xlfn.XLOOKUP(_xlfn.XLOOKUP($A19, Chinook!$A$3:$A$31, Chinook!$B$3:$B$31),$A$47:$A$51,$B$47:$B$51)</f>
        <v>1</v>
      </c>
      <c r="C19" s="82">
        <f t="shared" ref="C19:C38" si="14">B19/$B$40*$B$41</f>
        <v>2.359882005899705</v>
      </c>
      <c r="D19" s="80">
        <f>_xlfn.XLOOKUP(_xlfn.XLOOKUP($A19, Chinook!$A$3:$A$31, Chinook!$E$3:$E$31),$A$47:$A$51,$B$47:$B$51)</f>
        <v>1</v>
      </c>
      <c r="E19" s="82">
        <f t="shared" ref="E19:E38" si="15">D19/$D$40*$B$41</f>
        <v>1.2496094970321774</v>
      </c>
      <c r="F19" s="80">
        <f>_xlfn.XLOOKUP(_xlfn.XLOOKUP($A19, Chinook!$A$3:$A$31, Chinook!$H$3:$H$31),$A$47:$A$51,$B$47:$B$51)</f>
        <v>1</v>
      </c>
      <c r="G19" s="82">
        <f t="shared" ref="G19:G38" si="16">F19/$F$40*$B$41</f>
        <v>1.5378700499807765</v>
      </c>
      <c r="H19" s="83">
        <f>'Migration Score Calcs'!E11</f>
        <v>1.287028820793982E-2</v>
      </c>
      <c r="I19" s="82">
        <f>H19/$H$40*$B$41</f>
        <v>4.5871860991868935E-2</v>
      </c>
      <c r="J19" s="81">
        <f>_xlfn.XLOOKUP(_xlfn.XLOOKUP($A19, Steelhead!$A$3:$A$31, Steelhead!$C$3:$C$31),$A$47:$A$51,$B$47:$B$51)</f>
        <v>1</v>
      </c>
      <c r="K19" s="82">
        <f t="shared" ref="K19:K38" si="17">J19/$J$40*$B$41</f>
        <v>1.0256410256410255</v>
      </c>
      <c r="L19" s="80">
        <f>_xlfn.XLOOKUP(_xlfn.XLOOKUP($A19, Steelhead!$A$3:$A$31, Steelhead!$F$3:$F$31),$A$47:$A$51,$B$47:$B$51)</f>
        <v>0.67</v>
      </c>
      <c r="M19" s="82">
        <f t="shared" ref="M19:M38" si="18">L19/$L$40*$B$41</f>
        <v>0.58159722222222221</v>
      </c>
      <c r="N19" s="80">
        <f>_xlfn.XLOOKUP(_xlfn.XLOOKUP($A19, Steelhead!$A$3:$A$31, Steelhead!$I$3:$I$31),$A$47:$A$51,$B$47:$B$51)</f>
        <v>1</v>
      </c>
      <c r="O19" s="82">
        <f t="shared" ref="O19:O38" si="19">N19/$N$40*$B$41</f>
        <v>1.0515247108307044</v>
      </c>
      <c r="P19" s="83">
        <f>'Migration Score Calcs'!F11</f>
        <v>6.3936877734163025E-2</v>
      </c>
      <c r="Q19" s="82">
        <f>P19/$P$40*$B$41</f>
        <v>0.20272318938297548</v>
      </c>
      <c r="R19" s="81">
        <f>_xlfn.XLOOKUP(_xlfn.XLOOKUP($A19, 'Bull Trout'!$A$3:$A$31, 'Bull Trout'!$C$3:$C$31),$A$47:$A$51,$B$47:$B$51)</f>
        <v>1</v>
      </c>
      <c r="S19" s="82">
        <f t="shared" ref="S19:S38" si="20">R19/$R$40*$B$41</f>
        <v>2.2222222222222219</v>
      </c>
      <c r="T19" s="80">
        <f>_xlfn.XLOOKUP(_xlfn.XLOOKUP($A19, 'Bull Trout'!$A$3:$A$31, 'Bull Trout'!$F$3:$F$31),$A$47:$A$51,$B$47:$B$51)</f>
        <v>1</v>
      </c>
      <c r="U19" s="90">
        <f t="shared" ref="U19:U38" si="21">T19/$T$40*$B$41</f>
        <v>1.4814814814814812</v>
      </c>
      <c r="V19" s="80"/>
      <c r="W19" s="25">
        <f t="shared" si="11"/>
        <v>11.758423265685158</v>
      </c>
      <c r="X19" s="80">
        <f t="shared" ref="X19:X38" si="22">RANK(W19,$W$3:$W$38)</f>
        <v>2</v>
      </c>
    </row>
    <row r="20" spans="1:24" x14ac:dyDescent="0.25">
      <c r="A20" t="s">
        <v>12</v>
      </c>
      <c r="B20" s="38">
        <f>_xlfn.XLOOKUP(_xlfn.XLOOKUP($A20, Chinook!$A$3:$A$31, Chinook!$B$3:$B$31),$A$47:$A$51,$B$47:$B$51)</f>
        <v>0</v>
      </c>
      <c r="C20" s="44">
        <f t="shared" si="14"/>
        <v>0</v>
      </c>
      <c r="D20">
        <f>_xlfn.XLOOKUP(_xlfn.XLOOKUP($A20, Chinook!$A$3:$A$31, Chinook!$E$3:$E$31),$A$47:$A$51,$B$47:$B$51)</f>
        <v>0</v>
      </c>
      <c r="E20" s="44">
        <f t="shared" si="15"/>
        <v>0</v>
      </c>
      <c r="F20">
        <f>_xlfn.XLOOKUP(_xlfn.XLOOKUP($A20, Chinook!$A$3:$A$31, Chinook!$H$3:$H$31),$A$47:$A$51,$B$47:$B$51)</f>
        <v>0</v>
      </c>
      <c r="G20" s="44">
        <f t="shared" si="16"/>
        <v>0</v>
      </c>
      <c r="H20" s="25">
        <f>'Migration Score Calcs'!E12</f>
        <v>1.607881747351825E-3</v>
      </c>
      <c r="I20" s="44">
        <f t="shared" ref="I20:I38" si="23">H20/$H$40*$B$41</f>
        <v>5.7307596235789829E-3</v>
      </c>
      <c r="J20" s="38">
        <f>_xlfn.XLOOKUP(_xlfn.XLOOKUP($A20, Steelhead!$A$3:$A$31, Steelhead!$C$3:$C$31),$A$47:$A$51,$B$47:$B$51)</f>
        <v>1</v>
      </c>
      <c r="K20" s="44">
        <f t="shared" si="17"/>
        <v>1.0256410256410255</v>
      </c>
      <c r="L20">
        <f>_xlfn.XLOOKUP(_xlfn.XLOOKUP($A20, Steelhead!$A$3:$A$31, Steelhead!$F$3:$F$31),$A$47:$A$51,$B$47:$B$51)</f>
        <v>1</v>
      </c>
      <c r="M20" s="44">
        <f t="shared" si="18"/>
        <v>0.86805555555555558</v>
      </c>
      <c r="N20">
        <f>_xlfn.XLOOKUP(_xlfn.XLOOKUP($A20, Steelhead!$A$3:$A$31, Steelhead!$I$3:$I$31),$A$47:$A$51,$B$47:$B$51)</f>
        <v>1</v>
      </c>
      <c r="O20" s="44">
        <f t="shared" si="19"/>
        <v>1.0515247108307044</v>
      </c>
      <c r="P20" s="25">
        <f>'Migration Score Calcs'!F12</f>
        <v>6.8190538171839635E-2</v>
      </c>
      <c r="Q20" s="44">
        <f t="shared" ref="Q20:Q38" si="24">P20/$P$40*$B$41</f>
        <v>0.21621017281158966</v>
      </c>
      <c r="R20" s="38">
        <f>_xlfn.XLOOKUP(_xlfn.XLOOKUP($A20, 'Bull Trout'!$A$3:$A$31, 'Bull Trout'!$C$3:$C$31),$A$47:$A$51,$B$47:$B$51)</f>
        <v>0</v>
      </c>
      <c r="S20" s="44">
        <f t="shared" si="20"/>
        <v>0</v>
      </c>
      <c r="T20">
        <f>_xlfn.XLOOKUP(_xlfn.XLOOKUP($A20, 'Bull Trout'!$A$3:$A$31, 'Bull Trout'!$F$3:$F$31),$A$47:$A$51,$B$47:$B$51)</f>
        <v>0</v>
      </c>
      <c r="U20" s="88">
        <f t="shared" si="21"/>
        <v>0</v>
      </c>
      <c r="W20" s="25">
        <f t="shared" si="11"/>
        <v>3.1671622244624542</v>
      </c>
      <c r="X20">
        <f t="shared" si="22"/>
        <v>26</v>
      </c>
    </row>
    <row r="21" spans="1:24" x14ac:dyDescent="0.25">
      <c r="A21" t="s">
        <v>13</v>
      </c>
      <c r="B21" s="38">
        <f>_xlfn.XLOOKUP(_xlfn.XLOOKUP($A21, Chinook!$A$3:$A$31, Chinook!$B$3:$B$31),$A$47:$A$51,$B$47:$B$51)</f>
        <v>0</v>
      </c>
      <c r="C21" s="44">
        <f t="shared" si="14"/>
        <v>0</v>
      </c>
      <c r="D21">
        <f>_xlfn.XLOOKUP(_xlfn.XLOOKUP($A21, Chinook!$A$3:$A$31, Chinook!$E$3:$E$31),$A$47:$A$51,$B$47:$B$51)</f>
        <v>0</v>
      </c>
      <c r="E21" s="44">
        <f t="shared" si="15"/>
        <v>0</v>
      </c>
      <c r="F21">
        <f>_xlfn.XLOOKUP(_xlfn.XLOOKUP($A21, Chinook!$A$3:$A$31, Chinook!$H$3:$H$31),$A$47:$A$51,$B$47:$B$51)</f>
        <v>0</v>
      </c>
      <c r="G21" s="44">
        <f t="shared" si="16"/>
        <v>0</v>
      </c>
      <c r="H21" s="25">
        <f>'Migration Score Calcs'!E13</f>
        <v>1</v>
      </c>
      <c r="I21" s="44">
        <f t="shared" si="23"/>
        <v>3.5641673481383331</v>
      </c>
      <c r="J21" s="38">
        <f>_xlfn.XLOOKUP(_xlfn.XLOOKUP($A21, Steelhead!$A$3:$A$31, Steelhead!$C$3:$C$31),$A$47:$A$51,$B$47:$B$51)</f>
        <v>0.33</v>
      </c>
      <c r="K21" s="44">
        <f t="shared" si="17"/>
        <v>0.33846153846153848</v>
      </c>
      <c r="L21">
        <f>_xlfn.XLOOKUP(_xlfn.XLOOKUP($A21, Steelhead!$A$3:$A$31, Steelhead!$F$3:$F$31),$A$47:$A$51,$B$47:$B$51)</f>
        <v>0.67</v>
      </c>
      <c r="M21" s="44">
        <f t="shared" si="18"/>
        <v>0.58159722222222221</v>
      </c>
      <c r="N21">
        <f>_xlfn.XLOOKUP(_xlfn.XLOOKUP($A21, Steelhead!$A$3:$A$31, Steelhead!$I$3:$I$31),$A$47:$A$51,$B$47:$B$51)</f>
        <v>0</v>
      </c>
      <c r="O21" s="44">
        <f t="shared" si="19"/>
        <v>0</v>
      </c>
      <c r="P21" s="25">
        <f>'Migration Score Calcs'!F13</f>
        <v>1</v>
      </c>
      <c r="Q21" s="44">
        <f t="shared" si="24"/>
        <v>3.1706770265801638</v>
      </c>
      <c r="R21" s="38">
        <f>_xlfn.XLOOKUP(_xlfn.XLOOKUP($A21, 'Bull Trout'!$A$3:$A$31, 'Bull Trout'!$C$3:$C$31),$A$47:$A$51,$B$47:$B$51)</f>
        <v>0</v>
      </c>
      <c r="S21" s="44">
        <f t="shared" si="20"/>
        <v>0</v>
      </c>
      <c r="T21">
        <f>_xlfn.XLOOKUP(_xlfn.XLOOKUP($A21, 'Bull Trout'!$A$3:$A$31, 'Bull Trout'!$F$3:$F$31),$A$47:$A$51,$B$47:$B$51)</f>
        <v>1</v>
      </c>
      <c r="U21" s="88">
        <f t="shared" si="21"/>
        <v>1.4814814814814812</v>
      </c>
      <c r="W21" s="25">
        <f t="shared" si="11"/>
        <v>9.1363846168837384</v>
      </c>
      <c r="X21">
        <f t="shared" si="22"/>
        <v>9</v>
      </c>
    </row>
    <row r="22" spans="1:24" x14ac:dyDescent="0.25">
      <c r="A22" t="s">
        <v>14</v>
      </c>
      <c r="B22" s="38">
        <f>_xlfn.XLOOKUP(_xlfn.XLOOKUP($A22, Chinook!$A$3:$A$31, Chinook!$B$3:$B$31),$A$47:$A$51,$B$47:$B$51)</f>
        <v>0</v>
      </c>
      <c r="C22" s="44">
        <f t="shared" si="14"/>
        <v>0</v>
      </c>
      <c r="D22">
        <f>_xlfn.XLOOKUP(_xlfn.XLOOKUP($A22, Chinook!$A$3:$A$31, Chinook!$E$3:$E$31),$A$47:$A$51,$B$47:$B$51)</f>
        <v>0</v>
      </c>
      <c r="E22" s="44">
        <f t="shared" si="15"/>
        <v>0</v>
      </c>
      <c r="F22">
        <f>_xlfn.XLOOKUP(_xlfn.XLOOKUP($A22, Chinook!$A$3:$A$31, Chinook!$H$3:$H$31),$A$47:$A$51,$B$47:$B$51)</f>
        <v>0</v>
      </c>
      <c r="G22" s="44">
        <f t="shared" si="16"/>
        <v>0</v>
      </c>
      <c r="H22" s="25">
        <f>'Migration Score Calcs'!E14</f>
        <v>1.0721997911569826E-3</v>
      </c>
      <c r="I22" s="44">
        <f t="shared" si="23"/>
        <v>3.8214994863224575E-3</v>
      </c>
      <c r="J22" s="38">
        <f>_xlfn.XLOOKUP(_xlfn.XLOOKUP($A22, Steelhead!$A$3:$A$31, Steelhead!$C$3:$C$31),$A$47:$A$51,$B$47:$B$51)</f>
        <v>1</v>
      </c>
      <c r="K22" s="44">
        <f t="shared" si="17"/>
        <v>1.0256410256410255</v>
      </c>
      <c r="L22">
        <f>_xlfn.XLOOKUP(_xlfn.XLOOKUP($A22, Steelhead!$A$3:$A$31, Steelhead!$F$3:$F$31),$A$47:$A$51,$B$47:$B$51)</f>
        <v>1</v>
      </c>
      <c r="M22" s="44">
        <f t="shared" si="18"/>
        <v>0.86805555555555558</v>
      </c>
      <c r="N22">
        <f>_xlfn.XLOOKUP(_xlfn.XLOOKUP($A22, Steelhead!$A$3:$A$31, Steelhead!$I$3:$I$31),$A$47:$A$51,$B$47:$B$51)</f>
        <v>1</v>
      </c>
      <c r="O22" s="44">
        <f t="shared" si="19"/>
        <v>1.0515247108307044</v>
      </c>
      <c r="P22" s="25">
        <f>'Migration Score Calcs'!F14</f>
        <v>4.7493025763319596E-2</v>
      </c>
      <c r="Q22" s="44">
        <f t="shared" si="24"/>
        <v>0.1505850457105373</v>
      </c>
      <c r="R22" s="38">
        <f>_xlfn.XLOOKUP(_xlfn.XLOOKUP($A22, 'Bull Trout'!$A$3:$A$31, 'Bull Trout'!$C$3:$C$31),$A$47:$A$51,$B$47:$B$51)</f>
        <v>0</v>
      </c>
      <c r="S22" s="44">
        <f t="shared" si="20"/>
        <v>0</v>
      </c>
      <c r="T22">
        <f>_xlfn.XLOOKUP(_xlfn.XLOOKUP($A22, 'Bull Trout'!$A$3:$A$31, 'Bull Trout'!$F$3:$F$31),$A$47:$A$51,$B$47:$B$51)</f>
        <v>0</v>
      </c>
      <c r="U22" s="88">
        <f t="shared" si="21"/>
        <v>0</v>
      </c>
      <c r="W22" s="25">
        <f t="shared" si="11"/>
        <v>3.099627837224145</v>
      </c>
      <c r="X22">
        <f t="shared" si="22"/>
        <v>27</v>
      </c>
    </row>
    <row r="23" spans="1:24" x14ac:dyDescent="0.25">
      <c r="A23" t="s">
        <v>15</v>
      </c>
      <c r="B23" s="38">
        <f>_xlfn.XLOOKUP(_xlfn.XLOOKUP($A23, Chinook!$A$3:$A$31, Chinook!$B$3:$B$31),$A$47:$A$51,$B$47:$B$51)</f>
        <v>0</v>
      </c>
      <c r="C23" s="44">
        <f t="shared" si="14"/>
        <v>0</v>
      </c>
      <c r="D23">
        <f>_xlfn.XLOOKUP(_xlfn.XLOOKUP($A23, Chinook!$A$3:$A$31, Chinook!$E$3:$E$31),$A$47:$A$51,$B$47:$B$51)</f>
        <v>0.67</v>
      </c>
      <c r="E23" s="44">
        <f t="shared" si="15"/>
        <v>0.83723836301155885</v>
      </c>
      <c r="F23">
        <f>_xlfn.XLOOKUP(_xlfn.XLOOKUP($A23, Chinook!$A$3:$A$31, Chinook!$H$3:$H$31),$A$47:$A$51,$B$47:$B$51)</f>
        <v>0</v>
      </c>
      <c r="G23" s="44">
        <f t="shared" si="16"/>
        <v>0</v>
      </c>
      <c r="H23" s="25">
        <f>'Migration Score Calcs'!E15</f>
        <v>0.90732644421873132</v>
      </c>
      <c r="I23" s="44">
        <f t="shared" si="23"/>
        <v>3.2338632865868591</v>
      </c>
      <c r="J23" s="38">
        <f>_xlfn.XLOOKUP(_xlfn.XLOOKUP($A23, Steelhead!$A$3:$A$31, Steelhead!$C$3:$C$31),$A$47:$A$51,$B$47:$B$51)</f>
        <v>0</v>
      </c>
      <c r="K23" s="44">
        <f t="shared" si="17"/>
        <v>0</v>
      </c>
      <c r="L23">
        <f>_xlfn.XLOOKUP(_xlfn.XLOOKUP($A23, Steelhead!$A$3:$A$31, Steelhead!$F$3:$F$31),$A$47:$A$51,$B$47:$B$51)</f>
        <v>0.67</v>
      </c>
      <c r="M23" s="44">
        <f t="shared" si="18"/>
        <v>0.58159722222222221</v>
      </c>
      <c r="N23">
        <f>_xlfn.XLOOKUP(_xlfn.XLOOKUP($A23, Steelhead!$A$3:$A$31, Steelhead!$I$3:$I$31),$A$47:$A$51,$B$47:$B$51)</f>
        <v>0</v>
      </c>
      <c r="O23" s="44">
        <f t="shared" si="19"/>
        <v>0</v>
      </c>
      <c r="P23" s="25">
        <f>'Migration Score Calcs'!F15</f>
        <v>0.84565875882914221</v>
      </c>
      <c r="Q23" s="44">
        <f t="shared" si="24"/>
        <v>2.6813107989458564</v>
      </c>
      <c r="R23" s="38">
        <f>_xlfn.XLOOKUP(_xlfn.XLOOKUP($A23, 'Bull Trout'!$A$3:$A$31, 'Bull Trout'!$C$3:$C$31),$A$47:$A$51,$B$47:$B$51)</f>
        <v>0</v>
      </c>
      <c r="S23" s="44">
        <f t="shared" si="20"/>
        <v>0</v>
      </c>
      <c r="T23">
        <f>_xlfn.XLOOKUP(_xlfn.XLOOKUP($A23, 'Bull Trout'!$A$3:$A$31, 'Bull Trout'!$F$3:$F$31),$A$47:$A$51,$B$47:$B$51)</f>
        <v>0.33</v>
      </c>
      <c r="U23" s="88">
        <f t="shared" si="21"/>
        <v>0.48888888888888887</v>
      </c>
      <c r="W23" s="25">
        <f t="shared" si="11"/>
        <v>7.8228985596553855</v>
      </c>
      <c r="X23">
        <f t="shared" si="22"/>
        <v>12</v>
      </c>
    </row>
    <row r="24" spans="1:24" x14ac:dyDescent="0.25">
      <c r="A24" t="s">
        <v>16</v>
      </c>
      <c r="B24" s="38">
        <f>_xlfn.XLOOKUP(_xlfn.XLOOKUP($A24, Chinook!$A$3:$A$31, Chinook!$B$3:$B$31),$A$47:$A$51,$B$47:$B$51)</f>
        <v>0.33</v>
      </c>
      <c r="C24" s="44">
        <f>B24/$B$40*$B$41</f>
        <v>0.77876106194690253</v>
      </c>
      <c r="D24">
        <f>_xlfn.XLOOKUP(_xlfn.XLOOKUP($A24, Chinook!$A$3:$A$31, Chinook!$E$3:$E$31),$A$47:$A$51,$B$47:$B$51)</f>
        <v>0.33</v>
      </c>
      <c r="E24" s="44">
        <f t="shared" si="15"/>
        <v>0.41237113402061853</v>
      </c>
      <c r="F24">
        <f>_xlfn.XLOOKUP(_xlfn.XLOOKUP($A24, Chinook!$A$3:$A$31, Chinook!$H$3:$H$31),$A$47:$A$51,$B$47:$B$51)</f>
        <v>0.67</v>
      </c>
      <c r="G24" s="44">
        <f t="shared" si="16"/>
        <v>1.0303729334871203</v>
      </c>
      <c r="H24" s="25">
        <f>'Migration Score Calcs'!E16</f>
        <v>5.57642387219262E-2</v>
      </c>
      <c r="I24" s="44">
        <f t="shared" si="23"/>
        <v>0.19875307884648066</v>
      </c>
      <c r="J24" s="38">
        <f>_xlfn.XLOOKUP(_xlfn.XLOOKUP($A24, Steelhead!$A$3:$A$31, Steelhead!$C$3:$C$31),$A$47:$A$51,$B$47:$B$51)</f>
        <v>1</v>
      </c>
      <c r="K24" s="44">
        <f t="shared" si="17"/>
        <v>1.0256410256410255</v>
      </c>
      <c r="L24">
        <f>_xlfn.XLOOKUP(_xlfn.XLOOKUP($A24, Steelhead!$A$3:$A$31, Steelhead!$F$3:$F$31),$A$47:$A$51,$B$47:$B$51)</f>
        <v>1</v>
      </c>
      <c r="M24" s="44">
        <f t="shared" si="18"/>
        <v>0.86805555555555558</v>
      </c>
      <c r="N24">
        <f>_xlfn.XLOOKUP(_xlfn.XLOOKUP($A24, Steelhead!$A$3:$A$31, Steelhead!$I$3:$I$31),$A$47:$A$51,$B$47:$B$51)</f>
        <v>1</v>
      </c>
      <c r="O24" s="44">
        <f t="shared" si="19"/>
        <v>1.0515247108307044</v>
      </c>
      <c r="P24" s="25">
        <f>'Migration Score Calcs'!F16</f>
        <v>9.9407641999608193E-2</v>
      </c>
      <c r="Q24" s="44">
        <f t="shared" si="24"/>
        <v>0.31518952675466311</v>
      </c>
      <c r="R24" s="38">
        <f>_xlfn.XLOOKUP(_xlfn.XLOOKUP($A24, 'Bull Trout'!$A$3:$A$31, 'Bull Trout'!$C$3:$C$31),$A$47:$A$51,$B$47:$B$51)</f>
        <v>1</v>
      </c>
      <c r="S24" s="44">
        <f t="shared" si="20"/>
        <v>2.2222222222222219</v>
      </c>
      <c r="T24">
        <f>_xlfn.XLOOKUP(_xlfn.XLOOKUP($A24, 'Bull Trout'!$A$3:$A$31, 'Bull Trout'!$F$3:$F$31),$A$47:$A$51,$B$47:$B$51)</f>
        <v>0.67</v>
      </c>
      <c r="U24" s="88">
        <f t="shared" si="21"/>
        <v>0.99259259259259258</v>
      </c>
      <c r="W24" s="25">
        <f t="shared" si="11"/>
        <v>8.8954838418978852</v>
      </c>
      <c r="X24">
        <f t="shared" si="22"/>
        <v>10</v>
      </c>
    </row>
    <row r="25" spans="1:24" x14ac:dyDescent="0.25">
      <c r="A25" t="s">
        <v>17</v>
      </c>
      <c r="B25" s="38">
        <f>_xlfn.XLOOKUP(_xlfn.XLOOKUP($A25, Chinook!$A$3:$A$31, Chinook!$B$3:$B$31),$A$47:$A$51,$B$47:$B$51)</f>
        <v>0</v>
      </c>
      <c r="C25" s="44">
        <f t="shared" si="14"/>
        <v>0</v>
      </c>
      <c r="D25">
        <f>_xlfn.XLOOKUP(_xlfn.XLOOKUP($A25, Chinook!$A$3:$A$31, Chinook!$E$3:$E$31),$A$47:$A$51,$B$47:$B$51)</f>
        <v>0.67</v>
      </c>
      <c r="E25" s="44">
        <f t="shared" si="15"/>
        <v>0.83723836301155885</v>
      </c>
      <c r="F25">
        <f>_xlfn.XLOOKUP(_xlfn.XLOOKUP($A25, Chinook!$A$3:$A$31, Chinook!$H$3:$H$31),$A$47:$A$51,$B$47:$B$51)</f>
        <v>0</v>
      </c>
      <c r="G25" s="44">
        <f t="shared" si="16"/>
        <v>0</v>
      </c>
      <c r="H25" s="25">
        <f>'Migration Score Calcs'!E17</f>
        <v>0.43777673861674121</v>
      </c>
      <c r="I25" s="44">
        <f t="shared" si="23"/>
        <v>1.5603095575522787</v>
      </c>
      <c r="J25" s="38">
        <f>_xlfn.XLOOKUP(_xlfn.XLOOKUP($A25, Steelhead!$A$3:$A$31, Steelhead!$C$3:$C$31),$A$47:$A$51,$B$47:$B$51)</f>
        <v>0</v>
      </c>
      <c r="K25" s="44">
        <f t="shared" si="17"/>
        <v>0</v>
      </c>
      <c r="L25">
        <f>_xlfn.XLOOKUP(_xlfn.XLOOKUP($A25, Steelhead!$A$3:$A$31, Steelhead!$F$3:$F$31),$A$47:$A$51,$B$47:$B$51)</f>
        <v>0.67</v>
      </c>
      <c r="M25" s="44">
        <f t="shared" si="18"/>
        <v>0.58159722222222221</v>
      </c>
      <c r="N25">
        <f>_xlfn.XLOOKUP(_xlfn.XLOOKUP($A25, Steelhead!$A$3:$A$31, Steelhead!$I$3:$I$31),$A$47:$A$51,$B$47:$B$51)</f>
        <v>0</v>
      </c>
      <c r="O25" s="44">
        <f t="shared" si="19"/>
        <v>0</v>
      </c>
      <c r="P25" s="25">
        <f>'Migration Score Calcs'!F17</f>
        <v>0.51096455454329526</v>
      </c>
      <c r="Q25" s="44">
        <f t="shared" si="24"/>
        <v>1.6201035744871934</v>
      </c>
      <c r="R25" s="38">
        <f>_xlfn.XLOOKUP(_xlfn.XLOOKUP($A25, 'Bull Trout'!$A$3:$A$31, 'Bull Trout'!$C$3:$C$31),$A$47:$A$51,$B$47:$B$51)</f>
        <v>0</v>
      </c>
      <c r="S25" s="44">
        <f t="shared" si="20"/>
        <v>0</v>
      </c>
      <c r="T25">
        <f>_xlfn.XLOOKUP(_xlfn.XLOOKUP($A25, 'Bull Trout'!$A$3:$A$31, 'Bull Trout'!$F$3:$F$31),$A$47:$A$51,$B$47:$B$51)</f>
        <v>0.33</v>
      </c>
      <c r="U25" s="88">
        <f t="shared" si="21"/>
        <v>0.48888888888888887</v>
      </c>
      <c r="W25" s="25">
        <f t="shared" si="11"/>
        <v>5.0881376061621424</v>
      </c>
      <c r="X25">
        <f t="shared" si="22"/>
        <v>18</v>
      </c>
    </row>
    <row r="26" spans="1:24" x14ac:dyDescent="0.25">
      <c r="A26" t="s">
        <v>18</v>
      </c>
      <c r="B26" s="38">
        <f>_xlfn.XLOOKUP(_xlfn.XLOOKUP($A26, Chinook!$A$3:$A$31, Chinook!$B$3:$B$31),$A$47:$A$51,$B$47:$B$51)</f>
        <v>0</v>
      </c>
      <c r="C26" s="44">
        <f t="shared" si="14"/>
        <v>0</v>
      </c>
      <c r="D26">
        <f>_xlfn.XLOOKUP(_xlfn.XLOOKUP($A26, Chinook!$A$3:$A$31, Chinook!$E$3:$E$31),$A$47:$A$51,$B$47:$B$51)</f>
        <v>0</v>
      </c>
      <c r="E26" s="44">
        <f t="shared" si="15"/>
        <v>0</v>
      </c>
      <c r="F26">
        <f>_xlfn.XLOOKUP(_xlfn.XLOOKUP($A26, Chinook!$A$3:$A$31, Chinook!$H$3:$H$31),$A$47:$A$51,$B$47:$B$51)</f>
        <v>0</v>
      </c>
      <c r="G26" s="44">
        <f t="shared" si="16"/>
        <v>0</v>
      </c>
      <c r="H26" s="25">
        <f>'Migration Score Calcs'!E18</f>
        <v>1.6621845683827744E-2</v>
      </c>
      <c r="I26" s="44">
        <f t="shared" si="23"/>
        <v>5.9243039652092926E-2</v>
      </c>
      <c r="J26" s="38">
        <f>_xlfn.XLOOKUP(_xlfn.XLOOKUP($A26, Steelhead!$A$3:$A$31, Steelhead!$C$3:$C$31),$A$47:$A$51,$B$47:$B$51)</f>
        <v>0</v>
      </c>
      <c r="K26" s="44">
        <f t="shared" si="17"/>
        <v>0</v>
      </c>
      <c r="L26">
        <f>_xlfn.XLOOKUP(_xlfn.XLOOKUP($A26, Steelhead!$A$3:$A$31, Steelhead!$F$3:$F$31),$A$47:$A$51,$B$47:$B$51)</f>
        <v>0</v>
      </c>
      <c r="M26" s="44">
        <f t="shared" si="18"/>
        <v>0</v>
      </c>
      <c r="N26">
        <f>_xlfn.XLOOKUP(_xlfn.XLOOKUP($A26, Steelhead!$A$3:$A$31, Steelhead!$I$3:$I$31),$A$47:$A$51,$B$47:$B$51)</f>
        <v>0</v>
      </c>
      <c r="O26" s="44">
        <f t="shared" si="19"/>
        <v>0</v>
      </c>
      <c r="P26" s="25">
        <f>'Migration Score Calcs'!F18</f>
        <v>1.5221134236744052E-4</v>
      </c>
      <c r="Q26" s="44">
        <f t="shared" si="24"/>
        <v>4.8261300642937164E-4</v>
      </c>
      <c r="R26" s="38">
        <f>_xlfn.XLOOKUP(_xlfn.XLOOKUP($A26, 'Bull Trout'!$A$3:$A$31, 'Bull Trout'!$C$3:$C$31),$A$47:$A$51,$B$47:$B$51)</f>
        <v>0</v>
      </c>
      <c r="S26" s="44">
        <f t="shared" si="20"/>
        <v>0</v>
      </c>
      <c r="T26">
        <f>_xlfn.XLOOKUP(_xlfn.XLOOKUP($A26, 'Bull Trout'!$A$3:$A$31, 'Bull Trout'!$F$3:$F$31),$A$47:$A$51,$B$47:$B$51)</f>
        <v>0</v>
      </c>
      <c r="U26" s="88">
        <f t="shared" si="21"/>
        <v>0</v>
      </c>
      <c r="W26" s="25">
        <f t="shared" si="11"/>
        <v>5.9725652658522296E-2</v>
      </c>
      <c r="X26">
        <f t="shared" si="22"/>
        <v>29</v>
      </c>
    </row>
    <row r="27" spans="1:24" x14ac:dyDescent="0.25">
      <c r="A27" t="s">
        <v>19</v>
      </c>
      <c r="B27" s="38">
        <f>_xlfn.XLOOKUP(_xlfn.XLOOKUP($A27, Chinook!$A$3:$A$31, Chinook!$B$3:$B$31),$A$47:$A$51,$B$47:$B$51)</f>
        <v>0</v>
      </c>
      <c r="C27" s="44">
        <f t="shared" si="14"/>
        <v>0</v>
      </c>
      <c r="D27">
        <f>_xlfn.XLOOKUP(_xlfn.XLOOKUP($A27, Chinook!$A$3:$A$31, Chinook!$E$3:$E$31),$A$47:$A$51,$B$47:$B$51)</f>
        <v>0.67</v>
      </c>
      <c r="E27" s="44">
        <f t="shared" si="15"/>
        <v>0.83723836301155885</v>
      </c>
      <c r="F27">
        <f>_xlfn.XLOOKUP(_xlfn.XLOOKUP($A27, Chinook!$A$3:$A$31, Chinook!$H$3:$H$31),$A$47:$A$51,$B$47:$B$51)</f>
        <v>0</v>
      </c>
      <c r="G27" s="44">
        <f t="shared" si="16"/>
        <v>0</v>
      </c>
      <c r="H27" s="25">
        <f>'Migration Score Calcs'!E19</f>
        <v>0.37997141320467764</v>
      </c>
      <c r="I27" s="44">
        <f t="shared" si="23"/>
        <v>1.3542817041700907</v>
      </c>
      <c r="J27" s="38">
        <f>_xlfn.XLOOKUP(_xlfn.XLOOKUP($A27, Steelhead!$A$3:$A$31, Steelhead!$C$3:$C$31),$A$47:$A$51,$B$47:$B$51)</f>
        <v>0</v>
      </c>
      <c r="K27" s="44">
        <f t="shared" si="17"/>
        <v>0</v>
      </c>
      <c r="L27">
        <f>_xlfn.XLOOKUP(_xlfn.XLOOKUP($A27, Steelhead!$A$3:$A$31, Steelhead!$F$3:$F$31),$A$47:$A$51,$B$47:$B$51)</f>
        <v>0.67</v>
      </c>
      <c r="M27" s="44">
        <f t="shared" si="18"/>
        <v>0.58159722222222221</v>
      </c>
      <c r="N27">
        <f>_xlfn.XLOOKUP(_xlfn.XLOOKUP($A27, Steelhead!$A$3:$A$31, Steelhead!$I$3:$I$31),$A$47:$A$51,$B$47:$B$51)</f>
        <v>0</v>
      </c>
      <c r="O27" s="44">
        <f t="shared" si="19"/>
        <v>0</v>
      </c>
      <c r="P27" s="25">
        <f>'Migration Score Calcs'!F19</f>
        <v>0.49006493293881964</v>
      </c>
      <c r="Q27" s="44">
        <f t="shared" si="24"/>
        <v>1.5538376244016641</v>
      </c>
      <c r="R27" s="38">
        <f>_xlfn.XLOOKUP(_xlfn.XLOOKUP($A27, 'Bull Trout'!$A$3:$A$31, 'Bull Trout'!$C$3:$C$31),$A$47:$A$51,$B$47:$B$51)</f>
        <v>0</v>
      </c>
      <c r="S27" s="44">
        <f t="shared" si="20"/>
        <v>0</v>
      </c>
      <c r="T27">
        <f>_xlfn.XLOOKUP(_xlfn.XLOOKUP($A27, 'Bull Trout'!$A$3:$A$31, 'Bull Trout'!$F$3:$F$31),$A$47:$A$51,$B$47:$B$51)</f>
        <v>0.33</v>
      </c>
      <c r="U27" s="88">
        <f t="shared" si="21"/>
        <v>0.48888888888888887</v>
      </c>
      <c r="W27" s="25">
        <f t="shared" si="11"/>
        <v>4.8158438026944248</v>
      </c>
      <c r="X27">
        <f t="shared" si="22"/>
        <v>19</v>
      </c>
    </row>
    <row r="28" spans="1:24" x14ac:dyDescent="0.25">
      <c r="A28" t="s">
        <v>20</v>
      </c>
      <c r="B28" s="38">
        <f>_xlfn.XLOOKUP(_xlfn.XLOOKUP($A28, Chinook!$A$3:$A$31, Chinook!$B$3:$B$31),$A$47:$A$51,$B$47:$B$51)</f>
        <v>0</v>
      </c>
      <c r="C28" s="44">
        <f t="shared" si="14"/>
        <v>0</v>
      </c>
      <c r="D28">
        <f>_xlfn.XLOOKUP(_xlfn.XLOOKUP($A28, Chinook!$A$3:$A$31, Chinook!$E$3:$E$31),$A$47:$A$51,$B$47:$B$51)</f>
        <v>0.33</v>
      </c>
      <c r="E28" s="44">
        <f t="shared" si="15"/>
        <v>0.41237113402061853</v>
      </c>
      <c r="F28">
        <f>_xlfn.XLOOKUP(_xlfn.XLOOKUP($A28, Chinook!$A$3:$A$31, Chinook!$H$3:$H$31),$A$47:$A$51,$B$47:$B$51)</f>
        <v>0.33</v>
      </c>
      <c r="G28" s="44">
        <f t="shared" si="16"/>
        <v>0.50749711649365625</v>
      </c>
      <c r="H28" s="25">
        <f>'Migration Score Calcs'!E20</f>
        <v>5.3610420423193098E-4</v>
      </c>
      <c r="I28" s="44">
        <f t="shared" si="23"/>
        <v>1.910765099923133E-3</v>
      </c>
      <c r="J28" s="38">
        <f>_xlfn.XLOOKUP(_xlfn.XLOOKUP($A28, Steelhead!$A$3:$A$31, Steelhead!$C$3:$C$31),$A$47:$A$51,$B$47:$B$51)</f>
        <v>1</v>
      </c>
      <c r="K28" s="44">
        <f t="shared" si="17"/>
        <v>1.0256410256410255</v>
      </c>
      <c r="L28">
        <f>_xlfn.XLOOKUP(_xlfn.XLOOKUP($A28, Steelhead!$A$3:$A$31, Steelhead!$F$3:$F$31),$A$47:$A$51,$B$47:$B$51)</f>
        <v>1</v>
      </c>
      <c r="M28" s="44">
        <f t="shared" si="18"/>
        <v>0.86805555555555558</v>
      </c>
      <c r="N28">
        <f>_xlfn.XLOOKUP(_xlfn.XLOOKUP($A28, Steelhead!$A$3:$A$31, Steelhead!$I$3:$I$31),$A$47:$A$51,$B$47:$B$51)</f>
        <v>1</v>
      </c>
      <c r="O28" s="44">
        <f t="shared" si="19"/>
        <v>1.0515247108307044</v>
      </c>
      <c r="P28" s="25">
        <f>'Migration Score Calcs'!F20</f>
        <v>5.3467310241183764E-2</v>
      </c>
      <c r="Q28" s="44">
        <f t="shared" si="24"/>
        <v>0.16952757225475568</v>
      </c>
      <c r="R28" s="38">
        <f>_xlfn.XLOOKUP(_xlfn.XLOOKUP($A28, 'Bull Trout'!$A$3:$A$31, 'Bull Trout'!$C$3:$C$31),$A$47:$A$51,$B$47:$B$51)</f>
        <v>0</v>
      </c>
      <c r="S28" s="44">
        <f t="shared" si="20"/>
        <v>0</v>
      </c>
      <c r="T28">
        <f>_xlfn.XLOOKUP(_xlfn.XLOOKUP($A28, 'Bull Trout'!$A$3:$A$31, 'Bull Trout'!$F$3:$F$31),$A$47:$A$51,$B$47:$B$51)</f>
        <v>0</v>
      </c>
      <c r="U28" s="88">
        <f t="shared" si="21"/>
        <v>0</v>
      </c>
      <c r="W28" s="25">
        <f t="shared" si="11"/>
        <v>4.036527879896239</v>
      </c>
      <c r="X28">
        <f t="shared" si="22"/>
        <v>21</v>
      </c>
    </row>
    <row r="29" spans="1:24" x14ac:dyDescent="0.25">
      <c r="A29" t="s">
        <v>21</v>
      </c>
      <c r="B29" s="38">
        <f>_xlfn.XLOOKUP(_xlfn.XLOOKUP($A29, Chinook!$A$3:$A$31, Chinook!$B$3:$B$31),$A$47:$A$51,$B$47:$B$51)</f>
        <v>0</v>
      </c>
      <c r="C29" s="44">
        <f t="shared" si="14"/>
        <v>0</v>
      </c>
      <c r="D29">
        <f>_xlfn.XLOOKUP(_xlfn.XLOOKUP($A29, Chinook!$A$3:$A$31, Chinook!$E$3:$E$31),$A$47:$A$51,$B$47:$B$51)</f>
        <v>1</v>
      </c>
      <c r="E29" s="44">
        <f t="shared" si="15"/>
        <v>1.2496094970321774</v>
      </c>
      <c r="F29">
        <f>_xlfn.XLOOKUP(_xlfn.XLOOKUP($A29, Chinook!$A$3:$A$31, Chinook!$H$3:$H$31),$A$47:$A$51,$B$47:$B$51)</f>
        <v>0.33</v>
      </c>
      <c r="G29" s="44">
        <f t="shared" si="16"/>
        <v>0.50749711649365625</v>
      </c>
      <c r="H29" s="25">
        <f>'Migration Score Calcs'!E21</f>
        <v>0.34833580178243218</v>
      </c>
      <c r="I29" s="44">
        <f t="shared" si="23"/>
        <v>1.2415270909005316</v>
      </c>
      <c r="J29" s="38">
        <f>_xlfn.XLOOKUP(_xlfn.XLOOKUP($A29, Steelhead!$A$3:$A$31, Steelhead!$C$3:$C$31),$A$47:$A$51,$B$47:$B$51)</f>
        <v>0.33</v>
      </c>
      <c r="K29" s="44">
        <f t="shared" si="17"/>
        <v>0.33846153846153848</v>
      </c>
      <c r="L29">
        <f>_xlfn.XLOOKUP(_xlfn.XLOOKUP($A29, Steelhead!$A$3:$A$31, Steelhead!$F$3:$F$31),$A$47:$A$51,$B$47:$B$51)</f>
        <v>1</v>
      </c>
      <c r="M29" s="44">
        <f t="shared" si="18"/>
        <v>0.86805555555555558</v>
      </c>
      <c r="N29">
        <f>_xlfn.XLOOKUP(_xlfn.XLOOKUP($A29, Steelhead!$A$3:$A$31, Steelhead!$I$3:$I$31),$A$47:$A$51,$B$47:$B$51)</f>
        <v>0</v>
      </c>
      <c r="O29" s="44">
        <f t="shared" si="19"/>
        <v>0</v>
      </c>
      <c r="P29" s="25">
        <f>'Migration Score Calcs'!F21</f>
        <v>0.42776284333308995</v>
      </c>
      <c r="Q29" s="44">
        <f t="shared" si="24"/>
        <v>1.3562978201808382</v>
      </c>
      <c r="R29" s="38">
        <f>_xlfn.XLOOKUP(_xlfn.XLOOKUP($A29, 'Bull Trout'!$A$3:$A$31, 'Bull Trout'!$C$3:$C$31),$A$47:$A$51,$B$47:$B$51)</f>
        <v>0</v>
      </c>
      <c r="S29" s="44">
        <f t="shared" si="20"/>
        <v>0</v>
      </c>
      <c r="T29">
        <f>_xlfn.XLOOKUP(_xlfn.XLOOKUP($A29, 'Bull Trout'!$A$3:$A$31, 'Bull Trout'!$F$3:$F$31),$A$47:$A$51,$B$47:$B$51)</f>
        <v>0.67</v>
      </c>
      <c r="U29" s="88">
        <f t="shared" si="21"/>
        <v>0.99259259259259258</v>
      </c>
      <c r="W29" s="25">
        <f t="shared" si="11"/>
        <v>6.5540412112168909</v>
      </c>
      <c r="X29">
        <f t="shared" si="22"/>
        <v>15</v>
      </c>
    </row>
    <row r="30" spans="1:24" x14ac:dyDescent="0.25">
      <c r="A30" t="s">
        <v>22</v>
      </c>
      <c r="B30" s="38">
        <f>_xlfn.XLOOKUP(_xlfn.XLOOKUP($A30, Chinook!$A$3:$A$31, Chinook!$B$3:$B$31),$A$47:$A$51,$B$47:$B$51)</f>
        <v>0</v>
      </c>
      <c r="C30" s="44">
        <f t="shared" si="14"/>
        <v>0</v>
      </c>
      <c r="D30">
        <f>_xlfn.XLOOKUP(_xlfn.XLOOKUP($A30, Chinook!$A$3:$A$31, Chinook!$E$3:$E$31),$A$47:$A$51,$B$47:$B$51)</f>
        <v>0.33</v>
      </c>
      <c r="E30" s="44">
        <f t="shared" si="15"/>
        <v>0.41237113402061853</v>
      </c>
      <c r="F30">
        <f>_xlfn.XLOOKUP(_xlfn.XLOOKUP($A30, Chinook!$A$3:$A$31, Chinook!$H$3:$H$31),$A$47:$A$51,$B$47:$B$51)</f>
        <v>0.33</v>
      </c>
      <c r="G30" s="44">
        <f t="shared" si="16"/>
        <v>0.50749711649365625</v>
      </c>
      <c r="H30" s="25">
        <f>'Migration Score Calcs'!E22</f>
        <v>1.6085495886349753E-3</v>
      </c>
      <c r="I30" s="44">
        <f t="shared" si="23"/>
        <v>5.7331399216741267E-3</v>
      </c>
      <c r="J30" s="38">
        <f>_xlfn.XLOOKUP(_xlfn.XLOOKUP($A30, Steelhead!$A$3:$A$31, Steelhead!$C$3:$C$31),$A$47:$A$51,$B$47:$B$51)</f>
        <v>1</v>
      </c>
      <c r="K30" s="44">
        <f t="shared" si="17"/>
        <v>1.0256410256410255</v>
      </c>
      <c r="L30">
        <f>_xlfn.XLOOKUP(_xlfn.XLOOKUP($A30, Steelhead!$A$3:$A$31, Steelhead!$F$3:$F$31),$A$47:$A$51,$B$47:$B$51)</f>
        <v>0.33</v>
      </c>
      <c r="M30" s="44">
        <f t="shared" si="18"/>
        <v>0.28645833333333337</v>
      </c>
      <c r="N30">
        <f>_xlfn.XLOOKUP(_xlfn.XLOOKUP($A30, Steelhead!$A$3:$A$31, Steelhead!$I$3:$I$31),$A$47:$A$51,$B$47:$B$51)</f>
        <v>1</v>
      </c>
      <c r="O30" s="44">
        <f t="shared" si="19"/>
        <v>1.0515247108307044</v>
      </c>
      <c r="P30" s="25">
        <f>'Migration Score Calcs'!F22</f>
        <v>9.9713070817779012E-2</v>
      </c>
      <c r="Q30" s="44">
        <f t="shared" si="24"/>
        <v>0.31615794289169286</v>
      </c>
      <c r="R30" s="38">
        <f>_xlfn.XLOOKUP(_xlfn.XLOOKUP($A30, 'Bull Trout'!$A$3:$A$31, 'Bull Trout'!$C$3:$C$31),$A$47:$A$51,$B$47:$B$51)</f>
        <v>0</v>
      </c>
      <c r="S30" s="44">
        <f t="shared" si="20"/>
        <v>0</v>
      </c>
      <c r="T30">
        <f>_xlfn.XLOOKUP(_xlfn.XLOOKUP($A30, 'Bull Trout'!$A$3:$A$31, 'Bull Trout'!$F$3:$F$31),$A$47:$A$51,$B$47:$B$51)</f>
        <v>0</v>
      </c>
      <c r="U30" s="88">
        <f t="shared" si="21"/>
        <v>0</v>
      </c>
      <c r="W30" s="25">
        <f t="shared" si="11"/>
        <v>3.6053834031327052</v>
      </c>
      <c r="X30">
        <f t="shared" si="22"/>
        <v>24</v>
      </c>
    </row>
    <row r="31" spans="1:24" x14ac:dyDescent="0.25">
      <c r="A31" t="s">
        <v>23</v>
      </c>
      <c r="B31" s="38">
        <f>_xlfn.XLOOKUP(_xlfn.XLOOKUP($A31, Chinook!$A$3:$A$31, Chinook!$B$3:$B$31),$A$47:$A$51,$B$47:$B$51)</f>
        <v>0</v>
      </c>
      <c r="C31" s="44">
        <f t="shared" si="14"/>
        <v>0</v>
      </c>
      <c r="D31">
        <f>_xlfn.XLOOKUP(_xlfn.XLOOKUP($A31, Chinook!$A$3:$A$31, Chinook!$E$3:$E$31),$A$47:$A$51,$B$47:$B$51)</f>
        <v>0.33</v>
      </c>
      <c r="E31" s="44">
        <f t="shared" si="15"/>
        <v>0.41237113402061853</v>
      </c>
      <c r="F31">
        <f>_xlfn.XLOOKUP(_xlfn.XLOOKUP($A31, Chinook!$A$3:$A$31, Chinook!$H$3:$H$31),$A$47:$A$51,$B$47:$B$51)</f>
        <v>0.33</v>
      </c>
      <c r="G31" s="44">
        <f t="shared" si="16"/>
        <v>0.50749711649365625</v>
      </c>
      <c r="H31" s="25">
        <f>'Migration Score Calcs'!E23</f>
        <v>5.2545747849595231E-2</v>
      </c>
      <c r="I31" s="44">
        <f t="shared" si="23"/>
        <v>0.18728183876903737</v>
      </c>
      <c r="J31" s="38">
        <f>_xlfn.XLOOKUP(_xlfn.XLOOKUP($A31, Steelhead!$A$3:$A$31, Steelhead!$C$3:$C$31),$A$47:$A$51,$B$47:$B$51)</f>
        <v>1</v>
      </c>
      <c r="K31" s="44">
        <f t="shared" si="17"/>
        <v>1.0256410256410255</v>
      </c>
      <c r="L31">
        <f>_xlfn.XLOOKUP(_xlfn.XLOOKUP($A31, Steelhead!$A$3:$A$31, Steelhead!$F$3:$F$31),$A$47:$A$51,$B$47:$B$51)</f>
        <v>1</v>
      </c>
      <c r="M31" s="44">
        <f t="shared" si="18"/>
        <v>0.86805555555555558</v>
      </c>
      <c r="N31">
        <f>_xlfn.XLOOKUP(_xlfn.XLOOKUP($A31, Steelhead!$A$3:$A$31, Steelhead!$I$3:$I$31),$A$47:$A$51,$B$47:$B$51)</f>
        <v>1</v>
      </c>
      <c r="O31" s="44">
        <f t="shared" si="19"/>
        <v>1.0515247108307044</v>
      </c>
      <c r="P31" s="25">
        <f>'Migration Score Calcs'!F23</f>
        <v>0.13404598874366799</v>
      </c>
      <c r="Q31" s="44">
        <f t="shared" si="24"/>
        <v>0.42501653701477132</v>
      </c>
      <c r="R31" s="38">
        <f>_xlfn.XLOOKUP(_xlfn.XLOOKUP($A31, 'Bull Trout'!$A$3:$A$31, 'Bull Trout'!$C$3:$C$31),$A$47:$A$51,$B$47:$B$51)</f>
        <v>0</v>
      </c>
      <c r="S31" s="44">
        <f t="shared" si="20"/>
        <v>0</v>
      </c>
      <c r="T31">
        <f>_xlfn.XLOOKUP(_xlfn.XLOOKUP($A31, 'Bull Trout'!$A$3:$A$31, 'Bull Trout'!$F$3:$F$31),$A$47:$A$51,$B$47:$B$51)</f>
        <v>0</v>
      </c>
      <c r="U31" s="88">
        <f t="shared" si="21"/>
        <v>0</v>
      </c>
      <c r="W31" s="25">
        <f t="shared" si="11"/>
        <v>4.4773879183253689</v>
      </c>
      <c r="X31">
        <f t="shared" si="22"/>
        <v>20</v>
      </c>
    </row>
    <row r="32" spans="1:24" x14ac:dyDescent="0.25">
      <c r="A32" t="s">
        <v>24</v>
      </c>
      <c r="B32" s="38">
        <f>_xlfn.XLOOKUP(_xlfn.XLOOKUP($A32, Chinook!$A$3:$A$31, Chinook!$B$3:$B$31),$A$47:$A$51,$B$47:$B$51)</f>
        <v>0.33</v>
      </c>
      <c r="C32" s="44">
        <f t="shared" si="14"/>
        <v>0.77876106194690253</v>
      </c>
      <c r="D32">
        <f>_xlfn.XLOOKUP(_xlfn.XLOOKUP($A32, Chinook!$A$3:$A$31, Chinook!$E$3:$E$31),$A$47:$A$51,$B$47:$B$51)</f>
        <v>0.33</v>
      </c>
      <c r="E32" s="44">
        <f t="shared" si="15"/>
        <v>0.41237113402061853</v>
      </c>
      <c r="F32">
        <f>_xlfn.XLOOKUP(_xlfn.XLOOKUP($A32, Chinook!$A$3:$A$31, Chinook!$H$3:$H$31),$A$47:$A$51,$B$47:$B$51)</f>
        <v>0.67</v>
      </c>
      <c r="G32" s="44">
        <f t="shared" si="16"/>
        <v>1.0303729334871203</v>
      </c>
      <c r="H32" s="25">
        <f>'Migration Score Calcs'!E24</f>
        <v>1.6080584021428519E-3</v>
      </c>
      <c r="I32" s="44">
        <f t="shared" si="23"/>
        <v>5.7313892508170537E-3</v>
      </c>
      <c r="J32" s="38">
        <f>_xlfn.XLOOKUP(_xlfn.XLOOKUP($A32, Steelhead!$A$3:$A$31, Steelhead!$C$3:$C$31),$A$47:$A$51,$B$47:$B$51)</f>
        <v>1</v>
      </c>
      <c r="K32" s="44">
        <f t="shared" si="17"/>
        <v>1.0256410256410255</v>
      </c>
      <c r="L32">
        <f>_xlfn.XLOOKUP(_xlfn.XLOOKUP($A32, Steelhead!$A$3:$A$31, Steelhead!$F$3:$F$31),$A$47:$A$51,$B$47:$B$51)</f>
        <v>0.67</v>
      </c>
      <c r="M32" s="44">
        <f t="shared" si="18"/>
        <v>0.58159722222222221</v>
      </c>
      <c r="N32">
        <f>_xlfn.XLOOKUP(_xlfn.XLOOKUP($A32, Steelhead!$A$3:$A$31, Steelhead!$I$3:$I$31),$A$47:$A$51,$B$47:$B$51)</f>
        <v>1</v>
      </c>
      <c r="O32" s="44">
        <f t="shared" si="19"/>
        <v>1.0515247108307044</v>
      </c>
      <c r="P32" s="25">
        <f>'Migration Score Calcs'!F24</f>
        <v>3.5796159079488271E-2</v>
      </c>
      <c r="Q32" s="44">
        <f t="shared" si="24"/>
        <v>0.11349805923314241</v>
      </c>
      <c r="R32" s="38">
        <f>_xlfn.XLOOKUP(_xlfn.XLOOKUP($A32, 'Bull Trout'!$A$3:$A$31, 'Bull Trout'!$C$3:$C$31),$A$47:$A$51,$B$47:$B$51)</f>
        <v>1</v>
      </c>
      <c r="S32" s="44">
        <f t="shared" si="20"/>
        <v>2.2222222222222219</v>
      </c>
      <c r="T32">
        <f>_xlfn.XLOOKUP(_xlfn.XLOOKUP($A32, 'Bull Trout'!$A$3:$A$31, 'Bull Trout'!$F$3:$F$31),$A$47:$A$51,$B$47:$B$51)</f>
        <v>0.67</v>
      </c>
      <c r="U32" s="88">
        <f t="shared" si="21"/>
        <v>0.99259259259259258</v>
      </c>
      <c r="W32" s="25">
        <f t="shared" si="11"/>
        <v>8.2143123514473668</v>
      </c>
      <c r="X32">
        <f t="shared" si="22"/>
        <v>11</v>
      </c>
    </row>
    <row r="33" spans="1:24" x14ac:dyDescent="0.25">
      <c r="A33" t="s">
        <v>25</v>
      </c>
      <c r="B33" s="38">
        <f>_xlfn.XLOOKUP(_xlfn.XLOOKUP($A33, Chinook!$A$3:$A$31, Chinook!$B$3:$B$31),$A$47:$A$51,$B$47:$B$51)</f>
        <v>1</v>
      </c>
      <c r="C33" s="44">
        <f t="shared" si="14"/>
        <v>2.359882005899705</v>
      </c>
      <c r="D33">
        <f>_xlfn.XLOOKUP(_xlfn.XLOOKUP($A33, Chinook!$A$3:$A$31, Chinook!$E$3:$E$31),$A$47:$A$51,$B$47:$B$51)</f>
        <v>1</v>
      </c>
      <c r="E33" s="44">
        <f t="shared" si="15"/>
        <v>1.2496094970321774</v>
      </c>
      <c r="F33">
        <f>_xlfn.XLOOKUP(_xlfn.XLOOKUP($A33, Chinook!$A$3:$A$31, Chinook!$H$3:$H$31),$A$47:$A$51,$B$47:$B$51)</f>
        <v>1</v>
      </c>
      <c r="G33" s="44">
        <f t="shared" si="16"/>
        <v>1.5378700499807765</v>
      </c>
      <c r="H33" s="25">
        <f>'Migration Score Calcs'!E25</f>
        <v>0.22554846389977268</v>
      </c>
      <c r="I33" s="44">
        <f t="shared" si="23"/>
        <v>0.80389247045432743</v>
      </c>
      <c r="J33" s="38">
        <f>_xlfn.XLOOKUP(_xlfn.XLOOKUP($A33, Steelhead!$A$3:$A$31, Steelhead!$C$3:$C$31),$A$47:$A$51,$B$47:$B$51)</f>
        <v>0.33</v>
      </c>
      <c r="K33" s="44">
        <f t="shared" si="17"/>
        <v>0.33846153846153848</v>
      </c>
      <c r="L33">
        <f>_xlfn.XLOOKUP(_xlfn.XLOOKUP($A33, Steelhead!$A$3:$A$31, Steelhead!$F$3:$F$31),$A$47:$A$51,$B$47:$B$51)</f>
        <v>1</v>
      </c>
      <c r="M33" s="44">
        <f t="shared" si="18"/>
        <v>0.86805555555555558</v>
      </c>
      <c r="N33">
        <f>_xlfn.XLOOKUP(_xlfn.XLOOKUP($A33, Steelhead!$A$3:$A$31, Steelhead!$I$3:$I$31),$A$47:$A$51,$B$47:$B$51)</f>
        <v>0.67</v>
      </c>
      <c r="O33" s="44">
        <f t="shared" si="19"/>
        <v>0.70452155625657198</v>
      </c>
      <c r="P33" s="25">
        <f>'Migration Score Calcs'!F25</f>
        <v>0.13916710144401567</v>
      </c>
      <c r="Q33" s="44">
        <f t="shared" si="24"/>
        <v>0.44125393140429159</v>
      </c>
      <c r="R33" s="38">
        <f>_xlfn.XLOOKUP(_xlfn.XLOOKUP($A33, 'Bull Trout'!$A$3:$A$31, 'Bull Trout'!$C$3:$C$31),$A$47:$A$51,$B$47:$B$51)</f>
        <v>0</v>
      </c>
      <c r="S33" s="44">
        <f t="shared" si="20"/>
        <v>0</v>
      </c>
      <c r="T33">
        <f>_xlfn.XLOOKUP(_xlfn.XLOOKUP($A33, 'Bull Trout'!$A$3:$A$31, 'Bull Trout'!$F$3:$F$31),$A$47:$A$51,$B$47:$B$51)</f>
        <v>1</v>
      </c>
      <c r="U33" s="88">
        <f t="shared" si="21"/>
        <v>1.4814814814814812</v>
      </c>
      <c r="W33" s="25">
        <f t="shared" si="11"/>
        <v>9.7850280865264239</v>
      </c>
      <c r="X33">
        <f t="shared" si="22"/>
        <v>5</v>
      </c>
    </row>
    <row r="34" spans="1:24" x14ac:dyDescent="0.25">
      <c r="A34" t="s">
        <v>26</v>
      </c>
      <c r="B34" s="38">
        <f>_xlfn.XLOOKUP(_xlfn.XLOOKUP($A34, Chinook!$A$3:$A$31, Chinook!$B$3:$B$31),$A$47:$A$51,$B$47:$B$51)</f>
        <v>0.33</v>
      </c>
      <c r="C34" s="44">
        <f t="shared" si="14"/>
        <v>0.77876106194690253</v>
      </c>
      <c r="D34">
        <f>_xlfn.XLOOKUP(_xlfn.XLOOKUP($A34, Chinook!$A$3:$A$31, Chinook!$E$3:$E$31),$A$47:$A$51,$B$47:$B$51)</f>
        <v>0.67</v>
      </c>
      <c r="E34" s="44">
        <f t="shared" si="15"/>
        <v>0.83723836301155885</v>
      </c>
      <c r="F34">
        <f>_xlfn.XLOOKUP(_xlfn.XLOOKUP($A34, Chinook!$A$3:$A$31, Chinook!$H$3:$H$31),$A$47:$A$51,$B$47:$B$51)</f>
        <v>0.67</v>
      </c>
      <c r="G34" s="44">
        <f t="shared" si="16"/>
        <v>1.0303729334871203</v>
      </c>
      <c r="H34" s="25">
        <f>'Migration Score Calcs'!E26</f>
        <v>9.6516249894712663E-3</v>
      </c>
      <c r="I34" s="44">
        <f t="shared" si="23"/>
        <v>3.4400006643949474E-2</v>
      </c>
      <c r="J34" s="38">
        <f>_xlfn.XLOOKUP(_xlfn.XLOOKUP($A34, Steelhead!$A$3:$A$31, Steelhead!$C$3:$C$31),$A$47:$A$51,$B$47:$B$51)</f>
        <v>1</v>
      </c>
      <c r="K34" s="44">
        <f t="shared" si="17"/>
        <v>1.0256410256410255</v>
      </c>
      <c r="L34">
        <f>_xlfn.XLOOKUP(_xlfn.XLOOKUP($A34, Steelhead!$A$3:$A$31, Steelhead!$F$3:$F$31),$A$47:$A$51,$B$47:$B$51)</f>
        <v>0.67</v>
      </c>
      <c r="M34" s="44">
        <f t="shared" si="18"/>
        <v>0.58159722222222221</v>
      </c>
      <c r="N34">
        <f>_xlfn.XLOOKUP(_xlfn.XLOOKUP($A34, Steelhead!$A$3:$A$31, Steelhead!$I$3:$I$31),$A$47:$A$51,$B$47:$B$51)</f>
        <v>1</v>
      </c>
      <c r="O34" s="44">
        <f t="shared" si="19"/>
        <v>1.0515247108307044</v>
      </c>
      <c r="P34" s="25">
        <f>'Migration Score Calcs'!F26</f>
        <v>3.9602344731548111E-2</v>
      </c>
      <c r="Q34" s="44">
        <f t="shared" si="24"/>
        <v>0.12556624463902757</v>
      </c>
      <c r="R34" s="38">
        <f>_xlfn.XLOOKUP(_xlfn.XLOOKUP($A34, 'Bull Trout'!$A$3:$A$31, 'Bull Trout'!$C$3:$C$31),$A$47:$A$51,$B$47:$B$51)</f>
        <v>0</v>
      </c>
      <c r="S34" s="44">
        <f t="shared" si="20"/>
        <v>0</v>
      </c>
      <c r="T34">
        <f>_xlfn.XLOOKUP(_xlfn.XLOOKUP($A34, 'Bull Trout'!$A$3:$A$31, 'Bull Trout'!$F$3:$F$31),$A$47:$A$51,$B$47:$B$51)</f>
        <v>0</v>
      </c>
      <c r="U34" s="88">
        <f t="shared" si="21"/>
        <v>0</v>
      </c>
      <c r="W34" s="25">
        <f t="shared" si="11"/>
        <v>5.4651015684225106</v>
      </c>
      <c r="X34">
        <f t="shared" si="22"/>
        <v>17</v>
      </c>
    </row>
    <row r="35" spans="1:24" x14ac:dyDescent="0.25">
      <c r="A35" t="s">
        <v>27</v>
      </c>
      <c r="B35" s="38">
        <f>_xlfn.XLOOKUP(_xlfn.XLOOKUP($A35, Chinook!$A$3:$A$31, Chinook!$B$3:$B$31),$A$47:$A$51,$B$47:$B$51)</f>
        <v>1</v>
      </c>
      <c r="C35" s="44">
        <f>B35/$B$40*$B$41</f>
        <v>2.359882005899705</v>
      </c>
      <c r="D35">
        <f>_xlfn.XLOOKUP(_xlfn.XLOOKUP($A35, Chinook!$A$3:$A$31, Chinook!$E$3:$E$31),$A$47:$A$51,$B$47:$B$51)</f>
        <v>1</v>
      </c>
      <c r="E35" s="44">
        <f t="shared" si="15"/>
        <v>1.2496094970321774</v>
      </c>
      <c r="F35">
        <f>_xlfn.XLOOKUP(_xlfn.XLOOKUP($A35, Chinook!$A$3:$A$31, Chinook!$H$3:$H$31),$A$47:$A$51,$B$47:$B$51)</f>
        <v>1</v>
      </c>
      <c r="G35" s="44">
        <f t="shared" si="16"/>
        <v>1.5378700499807765</v>
      </c>
      <c r="H35" s="25">
        <f>'Migration Score Calcs'!E27</f>
        <v>0.15637953037512994</v>
      </c>
      <c r="I35" s="44">
        <f t="shared" si="23"/>
        <v>0.55736281608024485</v>
      </c>
      <c r="J35" s="38">
        <f>_xlfn.XLOOKUP(_xlfn.XLOOKUP($A35, Steelhead!$A$3:$A$31, Steelhead!$C$3:$C$31),$A$47:$A$51,$B$47:$B$51)</f>
        <v>0.67</v>
      </c>
      <c r="K35" s="44">
        <f t="shared" si="17"/>
        <v>0.68717948717948718</v>
      </c>
      <c r="L35">
        <f>_xlfn.XLOOKUP(_xlfn.XLOOKUP($A35, Steelhead!$A$3:$A$31, Steelhead!$F$3:$F$31),$A$47:$A$51,$B$47:$B$51)</f>
        <v>1</v>
      </c>
      <c r="M35" s="44">
        <f t="shared" si="18"/>
        <v>0.86805555555555558</v>
      </c>
      <c r="N35">
        <f>_xlfn.XLOOKUP(_xlfn.XLOOKUP($A35, Steelhead!$A$3:$A$31, Steelhead!$I$3:$I$31),$A$47:$A$51,$B$47:$B$51)</f>
        <v>0.67</v>
      </c>
      <c r="O35" s="44">
        <f t="shared" si="19"/>
        <v>0.70452155625657198</v>
      </c>
      <c r="P35" s="25">
        <f>'Migration Score Calcs'!F27</f>
        <v>7.8392149809106998E-2</v>
      </c>
      <c r="Q35" s="44">
        <f t="shared" si="24"/>
        <v>0.24855618846396613</v>
      </c>
      <c r="R35" s="38">
        <f>_xlfn.XLOOKUP(_xlfn.XLOOKUP($A35, 'Bull Trout'!$A$3:$A$31, 'Bull Trout'!$C$3:$C$31),$A$47:$A$51,$B$47:$B$51)</f>
        <v>0</v>
      </c>
      <c r="S35" s="44">
        <f t="shared" si="20"/>
        <v>0</v>
      </c>
      <c r="T35">
        <f>_xlfn.XLOOKUP(_xlfn.XLOOKUP($A35, 'Bull Trout'!$A$3:$A$31, 'Bull Trout'!$F$3:$F$31),$A$47:$A$51,$B$47:$B$51)</f>
        <v>1</v>
      </c>
      <c r="U35" s="88">
        <f t="shared" si="21"/>
        <v>1.4814814814814812</v>
      </c>
      <c r="W35" s="25">
        <f t="shared" si="11"/>
        <v>9.6945186379299653</v>
      </c>
      <c r="X35">
        <f t="shared" si="22"/>
        <v>6</v>
      </c>
    </row>
    <row r="36" spans="1:24" x14ac:dyDescent="0.25">
      <c r="A36" t="s">
        <v>28</v>
      </c>
      <c r="B36" s="38">
        <f>_xlfn.XLOOKUP(_xlfn.XLOOKUP($A36, Chinook!$A$3:$A$31, Chinook!$B$3:$B$31),$A$47:$A$51,$B$47:$B$51)</f>
        <v>0.33</v>
      </c>
      <c r="C36" s="44">
        <f t="shared" si="14"/>
        <v>0.77876106194690253</v>
      </c>
      <c r="D36">
        <f>_xlfn.XLOOKUP(_xlfn.XLOOKUP($A36, Chinook!$A$3:$A$31, Chinook!$E$3:$E$31),$A$47:$A$51,$B$47:$B$51)</f>
        <v>0.67</v>
      </c>
      <c r="E36" s="44">
        <f t="shared" si="15"/>
        <v>0.83723836301155885</v>
      </c>
      <c r="F36">
        <f>_xlfn.XLOOKUP(_xlfn.XLOOKUP($A36, Chinook!$A$3:$A$31, Chinook!$H$3:$H$31),$A$47:$A$51,$B$47:$B$51)</f>
        <v>0.67</v>
      </c>
      <c r="G36" s="44">
        <f t="shared" si="16"/>
        <v>1.0303729334871203</v>
      </c>
      <c r="H36" s="25">
        <f>'Migration Score Calcs'!E28</f>
        <v>1.5548801396596585E-2</v>
      </c>
      <c r="I36" s="44">
        <f t="shared" si="23"/>
        <v>5.5418530240437268E-2</v>
      </c>
      <c r="J36" s="38">
        <f>_xlfn.XLOOKUP(_xlfn.XLOOKUP($A36, Steelhead!$A$3:$A$31, Steelhead!$C$3:$C$31),$A$47:$A$51,$B$47:$B$51)</f>
        <v>0.67</v>
      </c>
      <c r="K36" s="44">
        <f t="shared" si="17"/>
        <v>0.68717948717948718</v>
      </c>
      <c r="L36">
        <f>_xlfn.XLOOKUP(_xlfn.XLOOKUP($A36, Steelhead!$A$3:$A$31, Steelhead!$F$3:$F$31),$A$47:$A$51,$B$47:$B$51)</f>
        <v>0.67</v>
      </c>
      <c r="M36" s="44">
        <f t="shared" si="18"/>
        <v>0.58159722222222221</v>
      </c>
      <c r="N36">
        <f>_xlfn.XLOOKUP(_xlfn.XLOOKUP($A36, Steelhead!$A$3:$A$31, Steelhead!$I$3:$I$31),$A$47:$A$51,$B$47:$B$51)</f>
        <v>0.67</v>
      </c>
      <c r="O36" s="44">
        <f t="shared" si="19"/>
        <v>0.70452155625657198</v>
      </c>
      <c r="P36" s="25">
        <f>'Migration Score Calcs'!F28</f>
        <v>1.0661785491494652E-2</v>
      </c>
      <c r="Q36" s="44">
        <f t="shared" si="24"/>
        <v>3.3805078320207793E-2</v>
      </c>
      <c r="R36" s="38">
        <f>_xlfn.XLOOKUP(_xlfn.XLOOKUP($A36, 'Bull Trout'!$A$3:$A$31, 'Bull Trout'!$C$3:$C$31),$A$47:$A$51,$B$47:$B$51)</f>
        <v>1</v>
      </c>
      <c r="S36" s="44">
        <f t="shared" si="20"/>
        <v>2.2222222222222219</v>
      </c>
      <c r="T36">
        <f>_xlfn.XLOOKUP(_xlfn.XLOOKUP($A36, 'Bull Trout'!$A$3:$A$31, 'Bull Trout'!$F$3:$F$31),$A$47:$A$51,$B$47:$B$51)</f>
        <v>0.33</v>
      </c>
      <c r="U36" s="88">
        <f t="shared" si="21"/>
        <v>0.48888888888888887</v>
      </c>
      <c r="W36" s="25">
        <f t="shared" si="11"/>
        <v>7.4200053437756193</v>
      </c>
      <c r="X36">
        <f t="shared" si="22"/>
        <v>13</v>
      </c>
    </row>
    <row r="37" spans="1:24" x14ac:dyDescent="0.25">
      <c r="A37" t="s">
        <v>29</v>
      </c>
      <c r="B37" s="38">
        <f>_xlfn.XLOOKUP(_xlfn.XLOOKUP($A37, Chinook!$A$3:$A$31, Chinook!$B$3:$B$31),$A$47:$A$51,$B$47:$B$51)</f>
        <v>0.33</v>
      </c>
      <c r="C37" s="44">
        <f t="shared" si="14"/>
        <v>0.77876106194690253</v>
      </c>
      <c r="D37">
        <f>_xlfn.XLOOKUP(_xlfn.XLOOKUP($A37, Chinook!$A$3:$A$31, Chinook!$E$3:$E$31),$A$47:$A$51,$B$47:$B$51)</f>
        <v>0.67</v>
      </c>
      <c r="E37" s="44">
        <f t="shared" si="15"/>
        <v>0.83723836301155885</v>
      </c>
      <c r="F37">
        <f>_xlfn.XLOOKUP(_xlfn.XLOOKUP($A37, Chinook!$A$3:$A$31, Chinook!$H$3:$H$31),$A$47:$A$51,$B$47:$B$51)</f>
        <v>0.67</v>
      </c>
      <c r="G37" s="44">
        <f t="shared" si="16"/>
        <v>1.0303729334871203</v>
      </c>
      <c r="H37" s="25">
        <f>'Migration Score Calcs'!E29</f>
        <v>6.7909001394465526E-2</v>
      </c>
      <c r="I37" s="44">
        <f t="shared" si="23"/>
        <v>0.24203904541483456</v>
      </c>
      <c r="J37" s="38">
        <f>_xlfn.XLOOKUP(_xlfn.XLOOKUP($A37, Steelhead!$A$3:$A$31, Steelhead!$C$3:$C$31),$A$47:$A$51,$B$47:$B$51)</f>
        <v>1</v>
      </c>
      <c r="K37" s="44">
        <f t="shared" si="17"/>
        <v>1.0256410256410255</v>
      </c>
      <c r="L37">
        <f>_xlfn.XLOOKUP(_xlfn.XLOOKUP($A37, Steelhead!$A$3:$A$31, Steelhead!$F$3:$F$31),$A$47:$A$51,$B$47:$B$51)</f>
        <v>1</v>
      </c>
      <c r="M37" s="44">
        <f t="shared" si="18"/>
        <v>0.86805555555555558</v>
      </c>
      <c r="N37">
        <f>_xlfn.XLOOKUP(_xlfn.XLOOKUP($A37, Steelhead!$A$3:$A$31, Steelhead!$I$3:$I$31),$A$47:$A$51,$B$47:$B$51)</f>
        <v>1</v>
      </c>
      <c r="O37" s="44">
        <f t="shared" si="19"/>
        <v>1.0515247108307044</v>
      </c>
      <c r="P37" s="25">
        <f>'Migration Score Calcs'!F29</f>
        <v>3.9703611694673263E-2</v>
      </c>
      <c r="Q37" s="44">
        <f t="shared" si="24"/>
        <v>0.12588732947256004</v>
      </c>
      <c r="R37" s="38">
        <f>_xlfn.XLOOKUP(_xlfn.XLOOKUP($A37, 'Bull Trout'!$A$3:$A$31, 'Bull Trout'!$C$3:$C$31),$A$47:$A$51,$B$47:$B$51)</f>
        <v>1</v>
      </c>
      <c r="S37" s="44">
        <f t="shared" si="20"/>
        <v>2.2222222222222219</v>
      </c>
      <c r="T37">
        <f>_xlfn.XLOOKUP(_xlfn.XLOOKUP($A37, 'Bull Trout'!$A$3:$A$31, 'Bull Trout'!$F$3:$F$31),$A$47:$A$51,$B$47:$B$51)</f>
        <v>0.67</v>
      </c>
      <c r="U37" s="88">
        <f t="shared" si="21"/>
        <v>0.99259259259259258</v>
      </c>
      <c r="W37" s="25">
        <f t="shared" si="11"/>
        <v>9.1743348401750762</v>
      </c>
      <c r="X37">
        <f t="shared" si="22"/>
        <v>8</v>
      </c>
    </row>
    <row r="38" spans="1:24" ht="15.75" thickBot="1" x14ac:dyDescent="0.3">
      <c r="A38" s="4" t="s">
        <v>30</v>
      </c>
      <c r="B38" s="86">
        <f>_xlfn.XLOOKUP(_xlfn.XLOOKUP($A38, Chinook!$A$3:$A$31, Chinook!$B$3:$B$31),$A$47:$A$51,$B$47:$B$51)</f>
        <v>1</v>
      </c>
      <c r="C38" s="87">
        <f t="shared" si="14"/>
        <v>2.359882005899705</v>
      </c>
      <c r="D38" s="4">
        <f>_xlfn.XLOOKUP(_xlfn.XLOOKUP($A38, Chinook!$A$3:$A$31, Chinook!$E$3:$E$31),$A$47:$A$51,$B$47:$B$51)</f>
        <v>1</v>
      </c>
      <c r="E38" s="87">
        <f t="shared" si="15"/>
        <v>1.2496094970321774</v>
      </c>
      <c r="F38" s="4">
        <f>_xlfn.XLOOKUP(_xlfn.XLOOKUP($A38, Chinook!$A$3:$A$31, Chinook!$H$3:$H$31),$A$47:$A$51,$B$47:$B$51)</f>
        <v>1</v>
      </c>
      <c r="G38" s="87">
        <f t="shared" si="16"/>
        <v>1.5378700499807765</v>
      </c>
      <c r="H38" s="67">
        <f>'Migration Score Calcs'!E30</f>
        <v>4.8256461807128621E-2</v>
      </c>
      <c r="I38" s="87">
        <f t="shared" si="23"/>
        <v>0.17199410550965238</v>
      </c>
      <c r="J38" s="86">
        <f>_xlfn.XLOOKUP(_xlfn.XLOOKUP($A38, Steelhead!$A$3:$A$31, Steelhead!$C$3:$C$31),$A$47:$A$51,$B$47:$B$51)</f>
        <v>0.67</v>
      </c>
      <c r="K38" s="87">
        <f t="shared" si="17"/>
        <v>0.68717948717948718</v>
      </c>
      <c r="L38" s="4">
        <f>_xlfn.XLOOKUP(_xlfn.XLOOKUP($A38, Steelhead!$A$3:$A$31, Steelhead!$F$3:$F$31),$A$47:$A$51,$B$47:$B$51)</f>
        <v>0.67</v>
      </c>
      <c r="M38" s="87">
        <f t="shared" si="18"/>
        <v>0.58159722222222221</v>
      </c>
      <c r="N38" s="4">
        <f>_xlfn.XLOOKUP(_xlfn.XLOOKUP($A38, Steelhead!$A$3:$A$31, Steelhead!$I$3:$I$31),$A$47:$A$51,$B$47:$B$51)</f>
        <v>0.67</v>
      </c>
      <c r="O38" s="87">
        <f t="shared" si="19"/>
        <v>0.70452155625657198</v>
      </c>
      <c r="P38" s="67">
        <f>'Migration Score Calcs'!F30</f>
        <v>2.1019819053878383E-2</v>
      </c>
      <c r="Q38" s="87">
        <f t="shared" si="24"/>
        <v>6.6647057377004187E-2</v>
      </c>
      <c r="R38" s="86">
        <f>_xlfn.XLOOKUP(_xlfn.XLOOKUP($A38, 'Bull Trout'!$A$3:$A$31, 'Bull Trout'!$C$3:$C$31),$A$47:$A$51,$B$47:$B$51)</f>
        <v>1</v>
      </c>
      <c r="S38" s="87">
        <f t="shared" si="20"/>
        <v>2.2222222222222219</v>
      </c>
      <c r="T38" s="4">
        <f>_xlfn.XLOOKUP(_xlfn.XLOOKUP($A38, 'Bull Trout'!$A$3:$A$31, 'Bull Trout'!$F$3:$F$31),$A$47:$A$51,$B$47:$B$51)</f>
        <v>1</v>
      </c>
      <c r="U38" s="89">
        <f t="shared" si="21"/>
        <v>1.4814814814814812</v>
      </c>
      <c r="W38" s="25">
        <f t="shared" si="11"/>
        <v>11.0630046851613</v>
      </c>
      <c r="X38">
        <f t="shared" si="22"/>
        <v>3</v>
      </c>
    </row>
    <row r="39" spans="1:24" x14ac:dyDescent="0.25">
      <c r="C39" s="15"/>
      <c r="E39" s="15"/>
      <c r="G39" s="15"/>
      <c r="I39" s="15"/>
      <c r="K39" s="15"/>
      <c r="M39" s="15"/>
      <c r="O39" s="15"/>
      <c r="Q39" s="15"/>
      <c r="S39" s="15"/>
      <c r="U39" s="15"/>
    </row>
    <row r="40" spans="1:24" x14ac:dyDescent="0.25">
      <c r="A40" t="s">
        <v>145</v>
      </c>
      <c r="B40" s="23">
        <f>SUM(B19:B38)</f>
        <v>5.65</v>
      </c>
      <c r="C40" s="85">
        <f>SUM(C19:C38)</f>
        <v>13.33333333333333</v>
      </c>
      <c r="D40" s="23">
        <f t="shared" ref="C40:U40" si="25">SUM(D19:D38)</f>
        <v>10.67</v>
      </c>
      <c r="E40" s="85">
        <f t="shared" si="25"/>
        <v>13.333333333333336</v>
      </c>
      <c r="F40" s="23">
        <f t="shared" si="25"/>
        <v>8.67</v>
      </c>
      <c r="G40" s="85">
        <f t="shared" si="25"/>
        <v>13.333333333333334</v>
      </c>
      <c r="H40" s="23">
        <f t="shared" si="25"/>
        <v>3.7409391958819538</v>
      </c>
      <c r="I40" s="85">
        <f t="shared" si="25"/>
        <v>13.333333333333336</v>
      </c>
      <c r="J40" s="23">
        <f t="shared" si="25"/>
        <v>13</v>
      </c>
      <c r="K40" s="85">
        <f t="shared" si="25"/>
        <v>13.333333333333332</v>
      </c>
      <c r="L40" s="23">
        <f t="shared" si="25"/>
        <v>15.36</v>
      </c>
      <c r="M40" s="85">
        <f t="shared" si="25"/>
        <v>13.333333333333329</v>
      </c>
      <c r="N40" s="23">
        <f t="shared" si="25"/>
        <v>12.68</v>
      </c>
      <c r="O40" s="85">
        <f t="shared" si="25"/>
        <v>13.33333333333333</v>
      </c>
      <c r="P40" s="23">
        <f t="shared" si="25"/>
        <v>4.2052007257624817</v>
      </c>
      <c r="Q40" s="85">
        <f t="shared" si="25"/>
        <v>13.333333333333334</v>
      </c>
      <c r="R40" s="23">
        <f t="shared" si="25"/>
        <v>6</v>
      </c>
      <c r="S40" s="85">
        <f t="shared" si="25"/>
        <v>13.33333333333333</v>
      </c>
      <c r="T40" s="23">
        <f t="shared" si="25"/>
        <v>9</v>
      </c>
      <c r="U40" s="85">
        <f t="shared" si="25"/>
        <v>13.333333333333332</v>
      </c>
    </row>
    <row r="41" spans="1:24" x14ac:dyDescent="0.25">
      <c r="A41" t="s">
        <v>146</v>
      </c>
      <c r="B41" s="23">
        <f>COUNT(B19:B38)/3*1+COUNT(B19:B38)/3*0.67+COUNT(B19:B38)/3*0.33</f>
        <v>13.333333333333332</v>
      </c>
    </row>
    <row r="43" spans="1:24" ht="30" x14ac:dyDescent="0.25">
      <c r="A43" s="37" t="s">
        <v>147</v>
      </c>
      <c r="B43" s="45">
        <f>1-(B40/$B$41)</f>
        <v>0.57624999999999993</v>
      </c>
      <c r="C43" s="45"/>
      <c r="D43" s="45">
        <f t="shared" ref="D43:T43" si="26">1-(D40/$B$41)</f>
        <v>0.19974999999999998</v>
      </c>
      <c r="E43" s="45"/>
      <c r="F43" s="45">
        <f t="shared" si="26"/>
        <v>0.34974999999999989</v>
      </c>
      <c r="G43" s="45"/>
      <c r="H43" s="45"/>
      <c r="I43" s="45"/>
      <c r="J43" s="45">
        <f>1-(J40/$B$41)</f>
        <v>2.4999999999999911E-2</v>
      </c>
      <c r="K43" s="45"/>
      <c r="L43" s="45">
        <f t="shared" si="26"/>
        <v>-0.15200000000000014</v>
      </c>
      <c r="M43" s="45"/>
      <c r="N43" s="45">
        <f t="shared" si="26"/>
        <v>4.8999999999999932E-2</v>
      </c>
      <c r="O43" s="45"/>
      <c r="P43" s="45"/>
      <c r="Q43" s="45"/>
      <c r="R43" s="45">
        <f t="shared" si="26"/>
        <v>0.54999999999999993</v>
      </c>
      <c r="S43" s="45"/>
      <c r="T43" s="45">
        <f t="shared" si="26"/>
        <v>0.32499999999999996</v>
      </c>
    </row>
    <row r="44" spans="1:24" ht="15.75" thickBot="1" x14ac:dyDescent="0.3"/>
    <row r="45" spans="1:24" ht="16.5" thickBot="1" x14ac:dyDescent="0.3">
      <c r="A45" s="12" t="s">
        <v>7</v>
      </c>
      <c r="B45" s="14"/>
      <c r="E45" s="12" t="s">
        <v>171</v>
      </c>
      <c r="F45" s="13"/>
      <c r="G45" s="13"/>
      <c r="H45" s="13"/>
      <c r="I45" s="13"/>
      <c r="J45" s="14"/>
      <c r="O45">
        <f>0.33/0.77</f>
        <v>0.4285714285714286</v>
      </c>
    </row>
    <row r="46" spans="1:24" ht="15.75" thickBot="1" x14ac:dyDescent="0.3">
      <c r="A46" s="10" t="s">
        <v>41</v>
      </c>
      <c r="B46" s="10" t="s">
        <v>42</v>
      </c>
      <c r="E46" s="10" t="s">
        <v>31</v>
      </c>
      <c r="F46" s="10" t="s">
        <v>4</v>
      </c>
      <c r="G46" s="10" t="s">
        <v>6</v>
      </c>
      <c r="H46" s="11"/>
      <c r="I46" s="11"/>
      <c r="J46" s="11" t="s">
        <v>5</v>
      </c>
      <c r="O46">
        <f>1/2.33</f>
        <v>0.42918454935622319</v>
      </c>
    </row>
    <row r="47" spans="1:24" x14ac:dyDescent="0.25">
      <c r="A47" s="9" t="s">
        <v>40</v>
      </c>
      <c r="B47" s="8">
        <v>1</v>
      </c>
      <c r="E47" s="49" t="s">
        <v>0</v>
      </c>
      <c r="F47" s="46">
        <f>B16</f>
        <v>0.55666666666666664</v>
      </c>
      <c r="G47" s="46">
        <f>J16</f>
        <v>5.5000000000000049E-2</v>
      </c>
      <c r="H47" s="8" t="s">
        <v>111</v>
      </c>
      <c r="I47" s="8"/>
      <c r="J47" s="46">
        <f>R16</f>
        <v>0.72166666666666668</v>
      </c>
    </row>
    <row r="48" spans="1:24" ht="15.75" thickBot="1" x14ac:dyDescent="0.3">
      <c r="A48" s="6" t="s">
        <v>39</v>
      </c>
      <c r="B48" s="6">
        <v>0.67</v>
      </c>
      <c r="E48" s="6" t="s">
        <v>1</v>
      </c>
      <c r="F48" s="46">
        <f>F16</f>
        <v>0.33333333333333337</v>
      </c>
      <c r="G48" s="47">
        <f>L16</f>
        <v>0.11166666666666669</v>
      </c>
      <c r="H48" s="7" t="s">
        <v>117</v>
      </c>
      <c r="I48" s="7"/>
      <c r="J48" s="48">
        <f>T16</f>
        <v>0.27666666666666673</v>
      </c>
    </row>
    <row r="49" spans="1:10" x14ac:dyDescent="0.25">
      <c r="A49" s="6" t="s">
        <v>38</v>
      </c>
      <c r="B49" s="6">
        <v>0.33</v>
      </c>
      <c r="E49" s="6" t="s">
        <v>2</v>
      </c>
      <c r="F49" s="46">
        <f>D16</f>
        <v>-0.1100000000000001</v>
      </c>
      <c r="G49" s="46">
        <f>N16</f>
        <v>5.5000000000000049E-2</v>
      </c>
    </row>
    <row r="50" spans="1:10" ht="15.75" thickBot="1" x14ac:dyDescent="0.3">
      <c r="A50" s="6" t="s">
        <v>37</v>
      </c>
      <c r="B50" s="6">
        <v>0</v>
      </c>
      <c r="E50" s="7" t="s">
        <v>3</v>
      </c>
      <c r="F50" s="8"/>
      <c r="G50" s="8"/>
    </row>
    <row r="51" spans="1:10" ht="15.75" thickBot="1" x14ac:dyDescent="0.3">
      <c r="A51" s="24" t="s">
        <v>71</v>
      </c>
      <c r="B51" s="24">
        <v>0</v>
      </c>
    </row>
    <row r="52" spans="1:10" ht="16.5" thickBot="1" x14ac:dyDescent="0.3">
      <c r="E52" s="12" t="s">
        <v>171</v>
      </c>
      <c r="F52" s="13"/>
      <c r="G52" s="13"/>
      <c r="H52" s="13"/>
      <c r="I52" s="13"/>
      <c r="J52" s="14"/>
    </row>
    <row r="53" spans="1:10" ht="15.75" thickBot="1" x14ac:dyDescent="0.3">
      <c r="E53" s="10" t="s">
        <v>31</v>
      </c>
      <c r="F53" s="10" t="s">
        <v>4</v>
      </c>
      <c r="G53" s="10" t="s">
        <v>6</v>
      </c>
      <c r="H53" s="11"/>
      <c r="I53" s="11"/>
      <c r="J53" s="11" t="s">
        <v>5</v>
      </c>
    </row>
    <row r="54" spans="1:10" x14ac:dyDescent="0.25">
      <c r="E54" s="49" t="s">
        <v>0</v>
      </c>
      <c r="F54" s="46">
        <f>B43</f>
        <v>0.57624999999999993</v>
      </c>
      <c r="G54" s="46">
        <f>J43</f>
        <v>2.4999999999999911E-2</v>
      </c>
      <c r="H54" s="8" t="s">
        <v>111</v>
      </c>
      <c r="I54" s="8"/>
      <c r="J54" s="46">
        <f>R43</f>
        <v>0.54999999999999993</v>
      </c>
    </row>
    <row r="55" spans="1:10" ht="15.75" thickBot="1" x14ac:dyDescent="0.3">
      <c r="E55" s="6" t="s">
        <v>1</v>
      </c>
      <c r="F55" s="46">
        <f>F43</f>
        <v>0.34974999999999989</v>
      </c>
      <c r="G55" s="47">
        <f>L43</f>
        <v>-0.15200000000000014</v>
      </c>
      <c r="H55" s="7" t="s">
        <v>117</v>
      </c>
      <c r="I55" s="7"/>
      <c r="J55" s="48">
        <f>T43</f>
        <v>0.32499999999999996</v>
      </c>
    </row>
    <row r="56" spans="1:10" x14ac:dyDescent="0.25">
      <c r="E56" s="6" t="s">
        <v>2</v>
      </c>
      <c r="F56" s="46">
        <f>D43</f>
        <v>0.19974999999999998</v>
      </c>
      <c r="G56" s="46">
        <f>N43</f>
        <v>4.8999999999999932E-2</v>
      </c>
    </row>
    <row r="57" spans="1:10" ht="15.75" thickBot="1" x14ac:dyDescent="0.3">
      <c r="E57" s="7" t="s">
        <v>3</v>
      </c>
      <c r="F57" s="8"/>
      <c r="G57" s="8"/>
    </row>
  </sheetData>
  <conditionalFormatting sqref="F47:G49 J47:J48">
    <cfRule type="colorScale" priority="4">
      <colorScale>
        <cfvo type="min"/>
        <cfvo type="max"/>
        <color rgb="FFFCFCFF"/>
        <color rgb="FF63BE7B"/>
      </colorScale>
    </cfRule>
  </conditionalFormatting>
  <conditionalFormatting sqref="F54:G56 J54:J55">
    <cfRule type="colorScale" priority="1">
      <colorScale>
        <cfvo type="min"/>
        <cfvo type="max"/>
        <color rgb="FFFCFCFF"/>
        <color rgb="FF63BE7B"/>
      </colorScale>
    </cfRule>
  </conditionalFormatting>
  <conditionalFormatting sqref="W3:W38">
    <cfRule type="colorScale" priority="3">
      <colorScale>
        <cfvo type="min"/>
        <cfvo type="max"/>
        <color rgb="FFFCFCFF"/>
        <color rgb="FF63BE7B"/>
      </colorScale>
    </cfRule>
  </conditionalFormatting>
  <conditionalFormatting sqref="X3:X12 X19:X38">
    <cfRule type="colorScale" priority="2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5DA3-7F9B-4525-8FB6-4E0F450674FA}">
  <dimension ref="A1:P50"/>
  <sheetViews>
    <sheetView workbookViewId="0">
      <pane xSplit="1" topLeftCell="B1" activePane="topRight" state="frozen"/>
      <selection pane="topRight" activeCell="K8" sqref="K8"/>
    </sheetView>
  </sheetViews>
  <sheetFormatPr defaultColWidth="8.85546875" defaultRowHeight="15" x14ac:dyDescent="0.25"/>
  <cols>
    <col min="2" max="2" width="10.7109375" customWidth="1"/>
    <col min="3" max="3" width="12" customWidth="1"/>
    <col min="4" max="4" width="21" customWidth="1"/>
    <col min="5" max="5" width="12.7109375" customWidth="1"/>
    <col min="6" max="6" width="18" customWidth="1"/>
    <col min="7" max="7" width="37.7109375" customWidth="1"/>
    <col min="8" max="8" width="14.5703125" customWidth="1"/>
    <col min="9" max="9" width="13.7109375" customWidth="1"/>
    <col min="10" max="10" width="37.85546875" customWidth="1"/>
    <col min="11" max="11" width="12" bestFit="1" customWidth="1"/>
    <col min="12" max="12" width="36.85546875" customWidth="1"/>
  </cols>
  <sheetData>
    <row r="1" spans="1:13" ht="15.75" thickBot="1" x14ac:dyDescent="0.3">
      <c r="B1" s="3" t="s">
        <v>0</v>
      </c>
      <c r="D1" s="2"/>
      <c r="E1" s="3" t="s">
        <v>2</v>
      </c>
      <c r="G1" s="2"/>
      <c r="H1" s="3" t="s">
        <v>1</v>
      </c>
      <c r="J1" s="2"/>
      <c r="K1" s="3" t="s">
        <v>3</v>
      </c>
    </row>
    <row r="2" spans="1:13" ht="15.75" thickBot="1" x14ac:dyDescent="0.3">
      <c r="A2" s="16" t="s">
        <v>8</v>
      </c>
      <c r="B2" s="17" t="s">
        <v>42</v>
      </c>
      <c r="C2" s="16" t="s">
        <v>43</v>
      </c>
      <c r="D2" s="18" t="s">
        <v>44</v>
      </c>
      <c r="E2" s="17" t="s">
        <v>42</v>
      </c>
      <c r="F2" s="16" t="s">
        <v>43</v>
      </c>
      <c r="G2" s="18" t="s">
        <v>44</v>
      </c>
      <c r="H2" s="17" t="s">
        <v>42</v>
      </c>
      <c r="I2" s="16" t="s">
        <v>43</v>
      </c>
      <c r="J2" s="18" t="s">
        <v>44</v>
      </c>
      <c r="K2" s="17" t="s">
        <v>42</v>
      </c>
      <c r="L2" s="72"/>
      <c r="M2" s="72"/>
    </row>
    <row r="3" spans="1:13" x14ac:dyDescent="0.25">
      <c r="A3" t="s">
        <v>32</v>
      </c>
      <c r="B3" s="1" t="s">
        <v>37</v>
      </c>
      <c r="D3" s="2"/>
      <c r="E3" s="1" t="s">
        <v>40</v>
      </c>
      <c r="G3" s="2"/>
      <c r="H3" s="1" t="s">
        <v>37</v>
      </c>
      <c r="J3" s="2"/>
      <c r="K3" s="1">
        <f>VLOOKUP(A3,'Migration Score Calcs'!$B$1:$F$30,4, FALSE)</f>
        <v>0.33817750500037541</v>
      </c>
    </row>
    <row r="4" spans="1:13" x14ac:dyDescent="0.25">
      <c r="A4" t="s">
        <v>68</v>
      </c>
      <c r="B4" s="1" t="s">
        <v>37</v>
      </c>
      <c r="D4" s="2"/>
      <c r="E4" s="1" t="s">
        <v>40</v>
      </c>
      <c r="G4" s="2" t="s">
        <v>62</v>
      </c>
      <c r="H4" s="1" t="s">
        <v>37</v>
      </c>
      <c r="J4" s="2" t="s">
        <v>129</v>
      </c>
      <c r="K4" s="1">
        <f>VLOOKUP(A4,'Migration Score Calcs'!$B$1:$F$30,4, FALSE)</f>
        <v>0.15433641861787592</v>
      </c>
    </row>
    <row r="5" spans="1:13" x14ac:dyDescent="0.25">
      <c r="A5" t="s">
        <v>69</v>
      </c>
      <c r="B5" s="1" t="s">
        <v>37</v>
      </c>
      <c r="D5" s="2"/>
      <c r="E5" s="1" t="s">
        <v>38</v>
      </c>
      <c r="F5" t="s">
        <v>60</v>
      </c>
      <c r="G5" s="2" t="s">
        <v>126</v>
      </c>
      <c r="H5" s="1" t="s">
        <v>37</v>
      </c>
      <c r="J5" s="2" t="s">
        <v>130</v>
      </c>
      <c r="K5" s="1">
        <f>VLOOKUP(A5,'Migration Score Calcs'!$B$1:$F$30,4, FALSE)</f>
        <v>3.511416399888849E-2</v>
      </c>
    </row>
    <row r="6" spans="1:13" x14ac:dyDescent="0.25">
      <c r="A6" t="s">
        <v>70</v>
      </c>
      <c r="B6" s="1" t="s">
        <v>37</v>
      </c>
      <c r="D6" s="2"/>
      <c r="E6" s="1" t="s">
        <v>38</v>
      </c>
      <c r="G6" s="2" t="s">
        <v>127</v>
      </c>
      <c r="H6" s="1" t="s">
        <v>38</v>
      </c>
      <c r="J6" s="2" t="s">
        <v>131</v>
      </c>
      <c r="K6" s="1">
        <f>VLOOKUP(A6,'Migration Score Calcs'!$B$1:$F$30,4, FALSE)</f>
        <v>3.4512314051820508E-2</v>
      </c>
    </row>
    <row r="7" spans="1:13" x14ac:dyDescent="0.25">
      <c r="A7" t="s">
        <v>33</v>
      </c>
      <c r="B7" s="1" t="s">
        <v>38</v>
      </c>
      <c r="D7" s="2" t="s">
        <v>56</v>
      </c>
      <c r="E7" s="1" t="s">
        <v>40</v>
      </c>
      <c r="G7" s="2"/>
      <c r="H7" s="1" t="s">
        <v>39</v>
      </c>
      <c r="I7" t="s">
        <v>51</v>
      </c>
      <c r="J7" s="2"/>
      <c r="K7" s="1">
        <f>VLOOKUP(A7,'Migration Score Calcs'!$B$1:$F$30,4, FALSE)</f>
        <v>0.16176222340098365</v>
      </c>
    </row>
    <row r="8" spans="1:13" x14ac:dyDescent="0.25">
      <c r="A8" t="s">
        <v>45</v>
      </c>
      <c r="B8" s="1" t="s">
        <v>40</v>
      </c>
      <c r="D8" s="2"/>
      <c r="E8" s="1" t="s">
        <v>40</v>
      </c>
      <c r="G8" s="2"/>
      <c r="H8" s="1" t="s">
        <v>40</v>
      </c>
      <c r="J8" s="2"/>
      <c r="K8" s="1">
        <f>VLOOKUP(A8,'Migration Score Calcs'!$B$1:$F$30,4, FALSE)</f>
        <v>0.1451407913478861</v>
      </c>
    </row>
    <row r="9" spans="1:13" x14ac:dyDescent="0.25">
      <c r="A9" t="s">
        <v>34</v>
      </c>
      <c r="B9" s="1" t="s">
        <v>40</v>
      </c>
      <c r="D9" s="2"/>
      <c r="E9" s="1" t="s">
        <v>40</v>
      </c>
      <c r="G9" s="2"/>
      <c r="H9" s="1" t="s">
        <v>40</v>
      </c>
      <c r="J9" s="2"/>
      <c r="K9" s="1">
        <f>VLOOKUP(A9,'Migration Score Calcs'!$B$1:$F$30,4, FALSE)</f>
        <v>0.10492657337147991</v>
      </c>
    </row>
    <row r="10" spans="1:13" x14ac:dyDescent="0.25">
      <c r="A10" t="s">
        <v>35</v>
      </c>
      <c r="B10" s="1" t="s">
        <v>37</v>
      </c>
      <c r="D10" s="2"/>
      <c r="E10" s="1" t="s">
        <v>38</v>
      </c>
      <c r="F10" t="s">
        <v>53</v>
      </c>
      <c r="G10" s="2"/>
      <c r="H10" s="1" t="s">
        <v>38</v>
      </c>
      <c r="J10" s="2" t="s">
        <v>63</v>
      </c>
      <c r="K10" s="1">
        <f>VLOOKUP(A10,'Migration Score Calcs'!$B$1:$F$30,4, FALSE)</f>
        <v>1.4475946690116773E-2</v>
      </c>
    </row>
    <row r="11" spans="1:13" x14ac:dyDescent="0.25">
      <c r="A11" t="s">
        <v>36</v>
      </c>
      <c r="B11" s="1" t="s">
        <v>38</v>
      </c>
      <c r="D11" s="2"/>
      <c r="E11" s="1" t="s">
        <v>39</v>
      </c>
      <c r="G11" s="2"/>
      <c r="H11" s="1" t="s">
        <v>39</v>
      </c>
      <c r="J11" s="2"/>
      <c r="K11" s="1">
        <f>VLOOKUP(A11,'Migration Score Calcs'!$B$1:$F$30,4, FALSE)</f>
        <v>6.702315086457461E-2</v>
      </c>
    </row>
    <row r="12" spans="1:13" x14ac:dyDescent="0.25">
      <c r="A12" t="s">
        <v>11</v>
      </c>
      <c r="B12" s="1" t="s">
        <v>40</v>
      </c>
      <c r="D12" s="2" t="s">
        <v>125</v>
      </c>
      <c r="E12" s="1" t="s">
        <v>40</v>
      </c>
      <c r="G12" s="2"/>
      <c r="H12" s="1" t="s">
        <v>40</v>
      </c>
      <c r="J12" s="2" t="s">
        <v>55</v>
      </c>
      <c r="K12" s="1">
        <f>VLOOKUP(A12,'Migration Score Calcs'!$B$1:$F$30,4, FALSE)</f>
        <v>1.287028820793982E-2</v>
      </c>
    </row>
    <row r="13" spans="1:13" x14ac:dyDescent="0.25">
      <c r="A13" t="s">
        <v>12</v>
      </c>
      <c r="B13" s="1" t="s">
        <v>37</v>
      </c>
      <c r="D13" s="2"/>
      <c r="E13" s="1" t="s">
        <v>37</v>
      </c>
      <c r="G13" s="2"/>
      <c r="H13" s="1" t="s">
        <v>37</v>
      </c>
      <c r="J13" s="2"/>
      <c r="K13" s="1">
        <f>VLOOKUP(A13,'Migration Score Calcs'!$B$1:$F$30,4, FALSE)</f>
        <v>1.607881747351825E-3</v>
      </c>
    </row>
    <row r="14" spans="1:13" x14ac:dyDescent="0.25">
      <c r="A14" t="s">
        <v>13</v>
      </c>
      <c r="B14" s="1" t="s">
        <v>37</v>
      </c>
      <c r="D14" s="2"/>
      <c r="E14" s="1" t="s">
        <v>37</v>
      </c>
      <c r="G14" s="2"/>
      <c r="H14" s="1" t="s">
        <v>37</v>
      </c>
      <c r="J14" s="2"/>
      <c r="K14" s="1">
        <f>VLOOKUP(A14,'Migration Score Calcs'!$B$1:$F$30,4, FALSE)</f>
        <v>1</v>
      </c>
    </row>
    <row r="15" spans="1:13" x14ac:dyDescent="0.25">
      <c r="A15" t="s">
        <v>14</v>
      </c>
      <c r="B15" s="1" t="s">
        <v>37</v>
      </c>
      <c r="D15" s="2"/>
      <c r="E15" s="1" t="s">
        <v>37</v>
      </c>
      <c r="G15" s="2"/>
      <c r="H15" s="1" t="s">
        <v>37</v>
      </c>
      <c r="J15" s="2"/>
      <c r="K15" s="1">
        <f>VLOOKUP(A15,'Migration Score Calcs'!$B$1:$F$30,4, FALSE)</f>
        <v>1.0721997911569826E-3</v>
      </c>
    </row>
    <row r="16" spans="1:13" x14ac:dyDescent="0.25">
      <c r="A16" t="s">
        <v>15</v>
      </c>
      <c r="B16" s="1" t="s">
        <v>37</v>
      </c>
      <c r="D16" s="2"/>
      <c r="E16" s="1" t="s">
        <v>39</v>
      </c>
      <c r="G16" s="2"/>
      <c r="H16" s="1" t="s">
        <v>37</v>
      </c>
      <c r="J16" s="2"/>
      <c r="K16" s="1">
        <f>VLOOKUP(A16,'Migration Score Calcs'!$B$1:$F$30,4, FALSE)</f>
        <v>0.90732644421873132</v>
      </c>
    </row>
    <row r="17" spans="1:11" x14ac:dyDescent="0.25">
      <c r="A17" t="s">
        <v>16</v>
      </c>
      <c r="B17" s="1" t="s">
        <v>38</v>
      </c>
      <c r="D17" s="2"/>
      <c r="E17" s="1" t="s">
        <v>38</v>
      </c>
      <c r="G17" s="2" t="s">
        <v>59</v>
      </c>
      <c r="H17" s="1" t="s">
        <v>39</v>
      </c>
      <c r="J17" s="2" t="s">
        <v>66</v>
      </c>
      <c r="K17" s="1">
        <f>VLOOKUP(A17,'Migration Score Calcs'!$B$1:$F$30,4, FALSE)</f>
        <v>5.57642387219262E-2</v>
      </c>
    </row>
    <row r="18" spans="1:11" x14ac:dyDescent="0.25">
      <c r="A18" t="s">
        <v>17</v>
      </c>
      <c r="B18" s="1" t="s">
        <v>37</v>
      </c>
      <c r="D18" s="2"/>
      <c r="E18" s="1" t="s">
        <v>39</v>
      </c>
      <c r="F18" t="s">
        <v>61</v>
      </c>
      <c r="G18" s="2" t="s">
        <v>58</v>
      </c>
      <c r="H18" s="1" t="s">
        <v>37</v>
      </c>
      <c r="J18" s="2"/>
      <c r="K18" s="1">
        <f>VLOOKUP(A18,'Migration Score Calcs'!$B$1:$F$30,4, FALSE)</f>
        <v>0.43777673861674121</v>
      </c>
    </row>
    <row r="19" spans="1:11" x14ac:dyDescent="0.25">
      <c r="A19" t="s">
        <v>18</v>
      </c>
      <c r="B19" s="1" t="s">
        <v>37</v>
      </c>
      <c r="D19" s="2"/>
      <c r="E19" s="1" t="s">
        <v>37</v>
      </c>
      <c r="G19" s="2"/>
      <c r="H19" s="1" t="s">
        <v>37</v>
      </c>
      <c r="J19" s="2"/>
      <c r="K19" s="1">
        <f>VLOOKUP(A19,'Migration Score Calcs'!$B$1:$F$30,4, FALSE)</f>
        <v>1.6621845683827744E-2</v>
      </c>
    </row>
    <row r="20" spans="1:11" x14ac:dyDescent="0.25">
      <c r="A20" t="s">
        <v>19</v>
      </c>
      <c r="B20" s="1" t="s">
        <v>37</v>
      </c>
      <c r="D20" s="2"/>
      <c r="E20" s="1" t="s">
        <v>39</v>
      </c>
      <c r="G20" s="2" t="s">
        <v>128</v>
      </c>
      <c r="H20" s="1" t="s">
        <v>37</v>
      </c>
      <c r="J20" s="2"/>
      <c r="K20" s="1">
        <f>VLOOKUP(A20,'Migration Score Calcs'!$B$1:$F$30,4, FALSE)</f>
        <v>0.37997141320467764</v>
      </c>
    </row>
    <row r="21" spans="1:11" x14ac:dyDescent="0.25">
      <c r="A21" t="s">
        <v>20</v>
      </c>
      <c r="B21" s="1" t="s">
        <v>37</v>
      </c>
      <c r="D21" s="2"/>
      <c r="E21" s="1" t="s">
        <v>38</v>
      </c>
      <c r="G21" s="2"/>
      <c r="H21" s="1" t="s">
        <v>38</v>
      </c>
      <c r="J21" s="2"/>
      <c r="K21" s="1">
        <f>VLOOKUP(A21,'Migration Score Calcs'!$B$1:$F$30,4, FALSE)</f>
        <v>5.3610420423193098E-4</v>
      </c>
    </row>
    <row r="22" spans="1:11" x14ac:dyDescent="0.25">
      <c r="A22" t="s">
        <v>21</v>
      </c>
      <c r="B22" s="1" t="s">
        <v>37</v>
      </c>
      <c r="D22" s="2" t="s">
        <v>57</v>
      </c>
      <c r="E22" s="1" t="s">
        <v>40</v>
      </c>
      <c r="G22" s="2"/>
      <c r="H22" s="1" t="s">
        <v>38</v>
      </c>
      <c r="J22" s="2"/>
      <c r="K22" s="1">
        <f>VLOOKUP(A22,'Migration Score Calcs'!$B$1:$F$30,4, FALSE)</f>
        <v>0.34833580178243218</v>
      </c>
    </row>
    <row r="23" spans="1:11" x14ac:dyDescent="0.25">
      <c r="A23" t="s">
        <v>22</v>
      </c>
      <c r="B23" s="1" t="s">
        <v>37</v>
      </c>
      <c r="D23" s="2"/>
      <c r="E23" s="1" t="s">
        <v>38</v>
      </c>
      <c r="F23" t="s">
        <v>60</v>
      </c>
      <c r="G23" s="2"/>
      <c r="H23" s="1" t="s">
        <v>38</v>
      </c>
      <c r="J23" s="2"/>
      <c r="K23" s="1">
        <f>VLOOKUP(A23,'Migration Score Calcs'!$B$1:$F$30,4, FALSE)</f>
        <v>1.6085495886349753E-3</v>
      </c>
    </row>
    <row r="24" spans="1:11" x14ac:dyDescent="0.25">
      <c r="A24" t="s">
        <v>23</v>
      </c>
      <c r="B24" s="1" t="s">
        <v>37</v>
      </c>
      <c r="C24" t="s">
        <v>60</v>
      </c>
      <c r="D24" s="2" t="s">
        <v>67</v>
      </c>
      <c r="E24" s="1" t="s">
        <v>38</v>
      </c>
      <c r="F24" t="s">
        <v>60</v>
      </c>
      <c r="G24" s="2"/>
      <c r="H24" s="1" t="s">
        <v>38</v>
      </c>
      <c r="J24" s="2"/>
      <c r="K24" s="1">
        <f>VLOOKUP(A24,'Migration Score Calcs'!$B$1:$F$30,4, FALSE)</f>
        <v>5.2545747849595231E-2</v>
      </c>
    </row>
    <row r="25" spans="1:11" x14ac:dyDescent="0.25">
      <c r="A25" t="s">
        <v>24</v>
      </c>
      <c r="B25" s="1" t="s">
        <v>38</v>
      </c>
      <c r="C25" t="s">
        <v>60</v>
      </c>
      <c r="D25" s="2"/>
      <c r="E25" s="1" t="s">
        <v>38</v>
      </c>
      <c r="F25" t="s">
        <v>60</v>
      </c>
      <c r="G25" s="2"/>
      <c r="H25" s="1" t="s">
        <v>39</v>
      </c>
      <c r="I25" t="s">
        <v>60</v>
      </c>
      <c r="J25" s="2" t="s">
        <v>54</v>
      </c>
      <c r="K25" s="1">
        <f>VLOOKUP(A25,'Migration Score Calcs'!$B$1:$F$30,4, FALSE)</f>
        <v>1.6080584021428519E-3</v>
      </c>
    </row>
    <row r="26" spans="1:11" x14ac:dyDescent="0.25">
      <c r="A26" t="s">
        <v>25</v>
      </c>
      <c r="B26" s="1" t="s">
        <v>40</v>
      </c>
      <c r="D26" s="2"/>
      <c r="E26" s="1" t="s">
        <v>40</v>
      </c>
      <c r="G26" s="2"/>
      <c r="H26" s="1" t="s">
        <v>40</v>
      </c>
      <c r="J26" s="2"/>
      <c r="K26" s="1">
        <f>VLOOKUP(A26,'Migration Score Calcs'!$B$1:$F$30,4, FALSE)</f>
        <v>0.22554846389977268</v>
      </c>
    </row>
    <row r="27" spans="1:11" x14ac:dyDescent="0.25">
      <c r="A27" t="s">
        <v>26</v>
      </c>
      <c r="B27" s="1" t="s">
        <v>38</v>
      </c>
      <c r="D27" s="2"/>
      <c r="E27" s="1" t="s">
        <v>39</v>
      </c>
      <c r="F27" t="s">
        <v>60</v>
      </c>
      <c r="G27" s="2"/>
      <c r="H27" s="1" t="s">
        <v>39</v>
      </c>
      <c r="J27" s="2"/>
      <c r="K27" s="1">
        <f>VLOOKUP(A27,'Migration Score Calcs'!$B$1:$F$30,4, FALSE)</f>
        <v>9.6516249894712663E-3</v>
      </c>
    </row>
    <row r="28" spans="1:11" x14ac:dyDescent="0.25">
      <c r="A28" t="s">
        <v>27</v>
      </c>
      <c r="B28" s="1" t="s">
        <v>40</v>
      </c>
      <c r="D28" s="2"/>
      <c r="E28" s="1" t="s">
        <v>40</v>
      </c>
      <c r="G28" s="2"/>
      <c r="H28" s="1" t="s">
        <v>40</v>
      </c>
      <c r="I28" t="s">
        <v>51</v>
      </c>
      <c r="J28" s="2"/>
      <c r="K28" s="1">
        <f>VLOOKUP(A28,'Migration Score Calcs'!$B$1:$F$30,4, FALSE)</f>
        <v>0.15637953037512994</v>
      </c>
    </row>
    <row r="29" spans="1:11" x14ac:dyDescent="0.25">
      <c r="A29" t="s">
        <v>28</v>
      </c>
      <c r="B29" s="1" t="s">
        <v>38</v>
      </c>
      <c r="D29" s="2"/>
      <c r="E29" s="1" t="s">
        <v>39</v>
      </c>
      <c r="F29" t="s">
        <v>60</v>
      </c>
      <c r="G29" s="2"/>
      <c r="H29" s="1" t="s">
        <v>39</v>
      </c>
      <c r="J29" s="2"/>
      <c r="K29" s="1">
        <f>VLOOKUP(A29,'Migration Score Calcs'!$B$1:$F$30,4, FALSE)</f>
        <v>1.5548801396596585E-2</v>
      </c>
    </row>
    <row r="30" spans="1:11" x14ac:dyDescent="0.25">
      <c r="A30" t="s">
        <v>29</v>
      </c>
      <c r="B30" s="1" t="s">
        <v>38</v>
      </c>
      <c r="D30" s="2"/>
      <c r="E30" s="1" t="s">
        <v>39</v>
      </c>
      <c r="F30" t="s">
        <v>60</v>
      </c>
      <c r="G30" s="2"/>
      <c r="H30" s="1" t="s">
        <v>39</v>
      </c>
      <c r="I30" t="s">
        <v>64</v>
      </c>
      <c r="J30" s="2" t="s">
        <v>65</v>
      </c>
      <c r="K30" s="1">
        <f>VLOOKUP(A30,'Migration Score Calcs'!$B$1:$F$30,4, FALSE)</f>
        <v>6.7909001394465526E-2</v>
      </c>
    </row>
    <row r="31" spans="1:11" ht="15.75" thickBot="1" x14ac:dyDescent="0.3">
      <c r="A31" s="4" t="s">
        <v>30</v>
      </c>
      <c r="B31" s="3" t="s">
        <v>40</v>
      </c>
      <c r="C31" s="4"/>
      <c r="D31" s="5"/>
      <c r="E31" s="3" t="s">
        <v>40</v>
      </c>
      <c r="F31" s="4"/>
      <c r="G31" s="5"/>
      <c r="H31" s="3" t="s">
        <v>40</v>
      </c>
      <c r="I31" s="4"/>
      <c r="J31" s="5"/>
      <c r="K31" s="1">
        <f>VLOOKUP(A31,'Migration Score Calcs'!$B$1:$F$30,4, FALSE)</f>
        <v>4.8256461807128621E-2</v>
      </c>
    </row>
    <row r="37" spans="1:16" x14ac:dyDescent="0.25">
      <c r="A37" s="22" t="s">
        <v>50</v>
      </c>
    </row>
    <row r="38" spans="1:16" x14ac:dyDescent="0.25">
      <c r="A38" t="s">
        <v>51</v>
      </c>
    </row>
    <row r="39" spans="1:16" x14ac:dyDescent="0.25">
      <c r="A39" t="s">
        <v>52</v>
      </c>
    </row>
    <row r="40" spans="1:16" x14ac:dyDescent="0.25">
      <c r="A40" t="s">
        <v>53</v>
      </c>
    </row>
    <row r="41" spans="1:16" x14ac:dyDescent="0.25">
      <c r="A41" t="s">
        <v>60</v>
      </c>
    </row>
    <row r="42" spans="1:16" ht="15.75" thickBot="1" x14ac:dyDescent="0.3">
      <c r="B42" s="26"/>
      <c r="C42" s="26" t="s">
        <v>101</v>
      </c>
      <c r="D42" s="27" t="s">
        <v>102</v>
      </c>
      <c r="F42" s="26" t="s">
        <v>101</v>
      </c>
      <c r="G42" s="26" t="s">
        <v>102</v>
      </c>
      <c r="I42" s="26" t="s">
        <v>101</v>
      </c>
      <c r="J42" s="26" t="s">
        <v>102</v>
      </c>
    </row>
    <row r="43" spans="1:16" x14ac:dyDescent="0.25">
      <c r="B43" s="28" t="s">
        <v>37</v>
      </c>
      <c r="C43" s="28">
        <f>COUNTIF(B$3:B$31,B43)</f>
        <v>16</v>
      </c>
      <c r="D43" s="29" t="s">
        <v>103</v>
      </c>
      <c r="F43" s="30">
        <f>COUNTIF(E$3:E$31,$B43)</f>
        <v>4</v>
      </c>
      <c r="G43" s="30" t="s">
        <v>103</v>
      </c>
      <c r="I43" s="30">
        <f>COUNTIF(H$3:H$31,$B43)</f>
        <v>10</v>
      </c>
      <c r="J43" s="30" t="s">
        <v>103</v>
      </c>
    </row>
    <row r="44" spans="1:16" x14ac:dyDescent="0.25">
      <c r="B44" s="30" t="s">
        <v>38</v>
      </c>
      <c r="C44" s="28">
        <f>COUNTIF(B$3:B$31,B44)</f>
        <v>7</v>
      </c>
      <c r="D44" s="31">
        <f>C44/SUM(C$44:C$46)</f>
        <v>0.53846153846153844</v>
      </c>
      <c r="F44" s="30">
        <f>COUNTIF(E$3:E$31,$B44)</f>
        <v>8</v>
      </c>
      <c r="G44" s="32">
        <f>F44/SUM(F$44:F$46)</f>
        <v>0.32</v>
      </c>
      <c r="I44" s="30">
        <f>COUNTIF(H$3:H$31,$B44)</f>
        <v>6</v>
      </c>
      <c r="J44" s="32">
        <f>I44/SUM(I$44:I$46)</f>
        <v>0.31578947368421051</v>
      </c>
      <c r="M44" s="33"/>
      <c r="P44" s="33"/>
    </row>
    <row r="45" spans="1:16" x14ac:dyDescent="0.25">
      <c r="B45" s="30" t="s">
        <v>39</v>
      </c>
      <c r="C45" s="28">
        <f>COUNTIF(B$3:B$31,B45)</f>
        <v>0</v>
      </c>
      <c r="D45" s="31">
        <f t="shared" ref="D45:D46" si="0">C45/SUM(C$44:C$46)</f>
        <v>0</v>
      </c>
      <c r="F45" s="30">
        <f>COUNTIF(E$3:E$31,$B45)</f>
        <v>7</v>
      </c>
      <c r="G45" s="32">
        <f t="shared" ref="G45:G46" si="1">F45/SUM(F$44:F$46)</f>
        <v>0.28000000000000003</v>
      </c>
      <c r="I45" s="30">
        <f>COUNTIF(H$3:H$31,$B45)</f>
        <v>7</v>
      </c>
      <c r="J45" s="32">
        <f t="shared" ref="J45:J46" si="2">I45/SUM(I$44:I$46)</f>
        <v>0.36842105263157893</v>
      </c>
      <c r="M45" s="33"/>
      <c r="P45" s="33"/>
    </row>
    <row r="46" spans="1:16" x14ac:dyDescent="0.25">
      <c r="B46" s="30" t="s">
        <v>40</v>
      </c>
      <c r="C46" s="28">
        <f>COUNTIF(B$3:B$31,B46)</f>
        <v>6</v>
      </c>
      <c r="D46" s="31">
        <f t="shared" si="0"/>
        <v>0.46153846153846156</v>
      </c>
      <c r="F46" s="30">
        <f>COUNTIF(E$3:E$31,$B46)</f>
        <v>10</v>
      </c>
      <c r="G46" s="32">
        <f t="shared" si="1"/>
        <v>0.4</v>
      </c>
      <c r="I46" s="30">
        <f>COUNTIF(H$3:H$31,$B46)</f>
        <v>6</v>
      </c>
      <c r="J46" s="32">
        <f t="shared" si="2"/>
        <v>0.31578947368421051</v>
      </c>
      <c r="M46" s="33"/>
      <c r="P46" s="33"/>
    </row>
    <row r="48" spans="1:16" x14ac:dyDescent="0.25">
      <c r="F48" s="15"/>
      <c r="G48" s="23"/>
      <c r="H48" s="23"/>
      <c r="I48" s="23"/>
      <c r="J48" s="23"/>
    </row>
    <row r="49" spans="6:10" x14ac:dyDescent="0.25">
      <c r="F49" s="15"/>
      <c r="G49" s="23"/>
      <c r="H49" s="23"/>
      <c r="I49" s="23"/>
      <c r="J49" s="23"/>
    </row>
    <row r="50" spans="6:10" x14ac:dyDescent="0.25">
      <c r="F50" s="15"/>
      <c r="G50" s="23"/>
      <c r="H50" s="23"/>
      <c r="I50" s="23"/>
      <c r="J50" s="23"/>
    </row>
  </sheetData>
  <phoneticPr fontId="2" type="noConversion"/>
  <conditionalFormatting sqref="G48:G50">
    <cfRule type="colorScale" priority="1">
      <colorScale>
        <cfvo type="min"/>
        <cfvo type="max"/>
        <color rgb="FFFCFCFF"/>
        <color rgb="FF63BE7B"/>
      </colorScale>
    </cfRule>
  </conditionalFormatting>
  <conditionalFormatting sqref="H48:H50">
    <cfRule type="colorScale" priority="2">
      <colorScale>
        <cfvo type="min"/>
        <cfvo type="max"/>
        <color rgb="FFFCFCFF"/>
        <color rgb="FF63BE7B"/>
      </colorScale>
    </cfRule>
  </conditionalFormatting>
  <conditionalFormatting sqref="I48:I50">
    <cfRule type="colorScale" priority="3">
      <colorScale>
        <cfvo type="min"/>
        <cfvo type="max"/>
        <color rgb="FFFCFCFF"/>
        <color rgb="FF63BE7B"/>
      </colorScale>
    </cfRule>
  </conditionalFormatting>
  <conditionalFormatting sqref="J48:J50">
    <cfRule type="colorScale" priority="4">
      <colorScale>
        <cfvo type="min"/>
        <cfvo type="max"/>
        <color rgb="FFFCFCFF"/>
        <color rgb="FF63BE7B"/>
      </colorScale>
    </cfRule>
  </conditionalFormatting>
  <dataValidations count="1">
    <dataValidation type="list" allowBlank="1" showInputMessage="1" showErrorMessage="1" sqref="N3:N31 H3:H31 E3:E31 B3:B32" xr:uid="{1B583B10-9693-471A-8E3A-2B29C302226A}">
      <formula1>#REF!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96BD-1D04-4E7F-8EEB-5970F38D1932}">
  <dimension ref="A1:Q47"/>
  <sheetViews>
    <sheetView zoomScaleNormal="100" workbookViewId="0">
      <pane xSplit="2" topLeftCell="H1" activePane="topRight" state="frozen"/>
      <selection pane="topRight" activeCell="L11" sqref="L11"/>
    </sheetView>
  </sheetViews>
  <sheetFormatPr defaultColWidth="8.85546875" defaultRowHeight="15" x14ac:dyDescent="0.25"/>
  <cols>
    <col min="2" max="2" width="37.85546875" customWidth="1"/>
    <col min="3" max="3" width="12.85546875" customWidth="1"/>
    <col min="4" max="4" width="11.42578125" customWidth="1"/>
    <col min="5" max="5" width="54.42578125" customWidth="1"/>
    <col min="6" max="6" width="12.7109375" customWidth="1"/>
    <col min="7" max="7" width="12.140625" customWidth="1"/>
    <col min="8" max="8" width="43.28515625" customWidth="1"/>
    <col min="9" max="9" width="14.5703125" customWidth="1"/>
    <col min="10" max="10" width="18.28515625" customWidth="1"/>
    <col min="11" max="11" width="29.7109375" customWidth="1"/>
    <col min="12" max="12" width="14.42578125" customWidth="1"/>
    <col min="13" max="13" width="36.85546875" customWidth="1"/>
  </cols>
  <sheetData>
    <row r="1" spans="1:14" ht="15.75" thickBot="1" x14ac:dyDescent="0.3">
      <c r="C1" s="3" t="s">
        <v>0</v>
      </c>
      <c r="E1" s="2"/>
      <c r="F1" s="3" t="s">
        <v>2</v>
      </c>
      <c r="H1" s="2"/>
      <c r="I1" s="3" t="s">
        <v>1</v>
      </c>
      <c r="K1" s="2"/>
      <c r="L1" s="3" t="s">
        <v>3</v>
      </c>
    </row>
    <row r="2" spans="1:14" ht="16.5" thickBot="1" x14ac:dyDescent="0.3">
      <c r="A2" s="16" t="s">
        <v>8</v>
      </c>
      <c r="B2" s="20"/>
      <c r="C2" s="17" t="s">
        <v>42</v>
      </c>
      <c r="D2" s="16" t="s">
        <v>118</v>
      </c>
      <c r="E2" s="18" t="s">
        <v>44</v>
      </c>
      <c r="F2" s="17" t="s">
        <v>42</v>
      </c>
      <c r="G2" s="16" t="s">
        <v>43</v>
      </c>
      <c r="H2" s="18" t="s">
        <v>44</v>
      </c>
      <c r="I2" s="17" t="s">
        <v>42</v>
      </c>
      <c r="J2" s="16" t="s">
        <v>43</v>
      </c>
      <c r="K2" s="18" t="s">
        <v>44</v>
      </c>
      <c r="L2" s="17" t="s">
        <v>42</v>
      </c>
      <c r="M2" s="16" t="s">
        <v>44</v>
      </c>
      <c r="N2" s="16" t="s">
        <v>43</v>
      </c>
    </row>
    <row r="3" spans="1:14" x14ac:dyDescent="0.25">
      <c r="A3" t="s">
        <v>32</v>
      </c>
      <c r="B3" s="15" t="s">
        <v>97</v>
      </c>
      <c r="C3" s="1" t="s">
        <v>37</v>
      </c>
      <c r="E3" s="2"/>
      <c r="F3" s="19" t="s">
        <v>38</v>
      </c>
      <c r="H3" s="2"/>
      <c r="I3" s="1" t="s">
        <v>37</v>
      </c>
      <c r="K3" s="2"/>
      <c r="L3" s="34">
        <f>VLOOKUP(A3,'Migration Score Calcs'!$B$1:$F$30,5, FALSE)</f>
        <v>0.16661934330698802</v>
      </c>
    </row>
    <row r="4" spans="1:14" x14ac:dyDescent="0.25">
      <c r="A4" t="s">
        <v>68</v>
      </c>
      <c r="B4" s="15" t="s">
        <v>98</v>
      </c>
      <c r="C4" s="1" t="s">
        <v>37</v>
      </c>
      <c r="E4" s="2"/>
      <c r="F4" s="19" t="s">
        <v>38</v>
      </c>
      <c r="H4" s="2"/>
      <c r="I4" s="1" t="s">
        <v>37</v>
      </c>
      <c r="K4" s="2"/>
      <c r="L4" s="34">
        <f>VLOOKUP(A4,'Migration Score Calcs'!$B$1:$F$30,5, FALSE)</f>
        <v>8.2211680805269055E-2</v>
      </c>
    </row>
    <row r="5" spans="1:14" x14ac:dyDescent="0.25">
      <c r="A5" t="s">
        <v>69</v>
      </c>
      <c r="B5" s="15" t="s">
        <v>100</v>
      </c>
      <c r="C5" s="1" t="s">
        <v>39</v>
      </c>
      <c r="D5" t="s">
        <v>60</v>
      </c>
      <c r="E5" s="2"/>
      <c r="F5" s="19" t="s">
        <v>39</v>
      </c>
      <c r="G5" t="s">
        <v>60</v>
      </c>
      <c r="H5" t="s">
        <v>123</v>
      </c>
      <c r="I5" s="1" t="s">
        <v>38</v>
      </c>
      <c r="K5" s="2"/>
      <c r="L5" s="34">
        <f>VLOOKUP(A5,'Migration Score Calcs'!$B$1:$F$30,5, FALSE)</f>
        <v>4.6649510173973563E-2</v>
      </c>
    </row>
    <row r="6" spans="1:14" x14ac:dyDescent="0.25">
      <c r="A6" t="s">
        <v>70</v>
      </c>
      <c r="B6" s="15" t="s">
        <v>99</v>
      </c>
      <c r="C6" s="1" t="s">
        <v>40</v>
      </c>
      <c r="E6" s="2"/>
      <c r="F6" s="19" t="s">
        <v>39</v>
      </c>
      <c r="G6" t="s">
        <v>51</v>
      </c>
      <c r="H6" s="2"/>
      <c r="I6" s="1" t="s">
        <v>40</v>
      </c>
      <c r="K6" s="2"/>
      <c r="L6" s="34">
        <f>VLOOKUP(A6,'Migration Score Calcs'!$B$1:$F$30,5, FALSE)</f>
        <v>9.4246746636322716E-3</v>
      </c>
    </row>
    <row r="7" spans="1:14" x14ac:dyDescent="0.25">
      <c r="A7" t="s">
        <v>33</v>
      </c>
      <c r="B7" s="15" t="s">
        <v>72</v>
      </c>
      <c r="C7" s="1" t="s">
        <v>39</v>
      </c>
      <c r="E7" s="2" t="s">
        <v>132</v>
      </c>
      <c r="F7" s="19" t="s">
        <v>38</v>
      </c>
      <c r="H7" s="2"/>
      <c r="I7" s="1" t="s">
        <v>39</v>
      </c>
      <c r="K7" s="2"/>
      <c r="L7" s="34">
        <f>VLOOKUP(A7,'Migration Score Calcs'!$B$1:$F$30,5, FALSE)</f>
        <v>6.39267564234796E-2</v>
      </c>
    </row>
    <row r="8" spans="1:14" x14ac:dyDescent="0.25">
      <c r="A8" t="s">
        <v>45</v>
      </c>
      <c r="B8" s="15" t="s">
        <v>73</v>
      </c>
      <c r="C8" s="1" t="s">
        <v>38</v>
      </c>
      <c r="D8" t="s">
        <v>52</v>
      </c>
      <c r="E8" t="s">
        <v>119</v>
      </c>
      <c r="F8" s="19" t="s">
        <v>40</v>
      </c>
      <c r="H8" s="2"/>
      <c r="I8" s="1" t="s">
        <v>40</v>
      </c>
      <c r="K8" s="2"/>
      <c r="L8" s="34">
        <f>VLOOKUP(A8,'Migration Score Calcs'!$B$1:$F$30,5, FALSE)</f>
        <v>5.9204923248359326E-2</v>
      </c>
    </row>
    <row r="9" spans="1:14" x14ac:dyDescent="0.25">
      <c r="A9" t="s">
        <v>34</v>
      </c>
      <c r="B9" s="15" t="s">
        <v>74</v>
      </c>
      <c r="C9" s="1" t="s">
        <v>40</v>
      </c>
      <c r="E9" s="2"/>
      <c r="F9" s="19" t="s">
        <v>40</v>
      </c>
      <c r="H9" s="2"/>
      <c r="I9" s="1" t="s">
        <v>40</v>
      </c>
      <c r="K9" s="2"/>
      <c r="L9" s="34">
        <f>VLOOKUP(A9,'Migration Score Calcs'!$B$1:$F$30,5, FALSE)</f>
        <v>4.77808276622557E-2</v>
      </c>
    </row>
    <row r="10" spans="1:14" x14ac:dyDescent="0.25">
      <c r="A10" t="s">
        <v>35</v>
      </c>
      <c r="B10" s="15" t="s">
        <v>75</v>
      </c>
      <c r="C10" s="1" t="s">
        <v>40</v>
      </c>
      <c r="E10" s="2"/>
      <c r="F10" s="19" t="s">
        <v>39</v>
      </c>
      <c r="G10" t="s">
        <v>52</v>
      </c>
      <c r="H10" s="2"/>
      <c r="I10" s="1" t="s">
        <v>39</v>
      </c>
      <c r="K10" s="2"/>
      <c r="L10" s="34">
        <f>VLOOKUP(A10,'Migration Score Calcs'!$B$1:$F$30,5, FALSE)</f>
        <v>9.1386818464702802E-3</v>
      </c>
    </row>
    <row r="11" spans="1:14" x14ac:dyDescent="0.25">
      <c r="A11" t="s">
        <v>36</v>
      </c>
      <c r="B11" s="15" t="s">
        <v>76</v>
      </c>
      <c r="C11" s="1" t="s">
        <v>40</v>
      </c>
      <c r="E11" s="2"/>
      <c r="F11" s="19" t="s">
        <v>38</v>
      </c>
      <c r="H11" s="2"/>
      <c r="I11" s="1" t="s">
        <v>40</v>
      </c>
      <c r="K11" s="2"/>
      <c r="L11" s="34">
        <f>VLOOKUP(A11,'Migration Score Calcs'!$B$1:$F$30,5, FALSE)</f>
        <v>3.0158636765082712E-2</v>
      </c>
    </row>
    <row r="12" spans="1:14" x14ac:dyDescent="0.25">
      <c r="A12" t="s">
        <v>11</v>
      </c>
      <c r="B12" s="15" t="s">
        <v>77</v>
      </c>
      <c r="C12" s="1" t="s">
        <v>40</v>
      </c>
      <c r="E12" s="2"/>
      <c r="F12" s="19" t="s">
        <v>39</v>
      </c>
      <c r="G12" t="s">
        <v>51</v>
      </c>
      <c r="H12" s="2" t="s">
        <v>133</v>
      </c>
      <c r="I12" s="1" t="s">
        <v>40</v>
      </c>
      <c r="K12" s="2"/>
      <c r="L12" s="34">
        <f>VLOOKUP(A12,'Migration Score Calcs'!$B$1:$F$30,5, FALSE)</f>
        <v>6.3936877734163025E-2</v>
      </c>
    </row>
    <row r="13" spans="1:14" x14ac:dyDescent="0.25">
      <c r="A13" t="s">
        <v>12</v>
      </c>
      <c r="B13" s="15" t="s">
        <v>78</v>
      </c>
      <c r="C13" s="1" t="s">
        <v>40</v>
      </c>
      <c r="E13" s="2"/>
      <c r="F13" s="19" t="s">
        <v>40</v>
      </c>
      <c r="G13" t="s">
        <v>60</v>
      </c>
      <c r="H13" s="2"/>
      <c r="I13" s="1" t="s">
        <v>40</v>
      </c>
      <c r="K13" s="2"/>
      <c r="L13" s="34">
        <f>VLOOKUP(A13,'Migration Score Calcs'!$B$1:$F$30,5, FALSE)</f>
        <v>6.8190538171839635E-2</v>
      </c>
    </row>
    <row r="14" spans="1:14" x14ac:dyDescent="0.25">
      <c r="A14" t="s">
        <v>13</v>
      </c>
      <c r="B14" s="15" t="s">
        <v>79</v>
      </c>
      <c r="C14" s="1" t="s">
        <v>38</v>
      </c>
      <c r="E14" t="s">
        <v>120</v>
      </c>
      <c r="F14" s="19" t="s">
        <v>39</v>
      </c>
      <c r="H14" s="2"/>
      <c r="I14" s="1" t="s">
        <v>37</v>
      </c>
      <c r="K14" s="2"/>
      <c r="L14" s="34">
        <f>VLOOKUP(A14,'Migration Score Calcs'!$B$1:$F$30,5, FALSE)</f>
        <v>1</v>
      </c>
    </row>
    <row r="15" spans="1:14" x14ac:dyDescent="0.25">
      <c r="A15" t="s">
        <v>14</v>
      </c>
      <c r="B15" s="15" t="s">
        <v>80</v>
      </c>
      <c r="C15" s="1" t="s">
        <v>40</v>
      </c>
      <c r="E15" s="2"/>
      <c r="F15" s="19" t="s">
        <v>40</v>
      </c>
      <c r="H15" s="2"/>
      <c r="I15" s="1" t="s">
        <v>40</v>
      </c>
      <c r="K15" s="2"/>
      <c r="L15" s="34">
        <f>VLOOKUP(A15,'Migration Score Calcs'!$B$1:$F$30,5, FALSE)</f>
        <v>4.7493025763319596E-2</v>
      </c>
    </row>
    <row r="16" spans="1:14" x14ac:dyDescent="0.25">
      <c r="A16" t="s">
        <v>15</v>
      </c>
      <c r="B16" s="15" t="s">
        <v>81</v>
      </c>
      <c r="C16" s="1" t="s">
        <v>37</v>
      </c>
      <c r="E16" s="2"/>
      <c r="F16" s="19" t="s">
        <v>39</v>
      </c>
      <c r="H16" s="2"/>
      <c r="I16" s="1" t="s">
        <v>37</v>
      </c>
      <c r="K16" s="2"/>
      <c r="L16" s="34">
        <f>VLOOKUP(A16,'Migration Score Calcs'!$B$1:$F$30,5, FALSE)</f>
        <v>0.84565875882914221</v>
      </c>
    </row>
    <row r="17" spans="1:14" x14ac:dyDescent="0.25">
      <c r="A17" t="s">
        <v>16</v>
      </c>
      <c r="B17" s="15" t="s">
        <v>82</v>
      </c>
      <c r="C17" s="1" t="s">
        <v>40</v>
      </c>
      <c r="E17" s="2"/>
      <c r="F17" s="19" t="s">
        <v>40</v>
      </c>
      <c r="H17" s="2"/>
      <c r="I17" s="1" t="s">
        <v>40</v>
      </c>
      <c r="J17" t="s">
        <v>51</v>
      </c>
      <c r="K17" s="2" t="s">
        <v>141</v>
      </c>
      <c r="L17" s="34">
        <f>VLOOKUP(A17,'Migration Score Calcs'!$B$1:$F$30,5, FALSE)</f>
        <v>9.9407641999608193E-2</v>
      </c>
    </row>
    <row r="18" spans="1:14" x14ac:dyDescent="0.25">
      <c r="A18" t="s">
        <v>17</v>
      </c>
      <c r="B18" s="15" t="s">
        <v>83</v>
      </c>
      <c r="C18" s="1" t="s">
        <v>37</v>
      </c>
      <c r="E18" s="2"/>
      <c r="F18" s="19" t="s">
        <v>39</v>
      </c>
      <c r="H18" s="2"/>
      <c r="I18" s="1" t="s">
        <v>37</v>
      </c>
      <c r="K18" s="2"/>
      <c r="L18" s="34">
        <f>VLOOKUP(A18,'Migration Score Calcs'!$B$1:$F$30,5, FALSE)</f>
        <v>0.51096455454329526</v>
      </c>
    </row>
    <row r="19" spans="1:14" x14ac:dyDescent="0.25">
      <c r="A19" t="s">
        <v>18</v>
      </c>
      <c r="B19" s="15" t="s">
        <v>84</v>
      </c>
      <c r="C19" s="1" t="s">
        <v>37</v>
      </c>
      <c r="E19" s="2"/>
      <c r="F19" s="19" t="s">
        <v>71</v>
      </c>
      <c r="H19" s="2"/>
      <c r="I19" s="1" t="s">
        <v>71</v>
      </c>
      <c r="K19" s="2"/>
      <c r="L19" s="34">
        <f>VLOOKUP(A19,'Migration Score Calcs'!$B$1:$F$30,5, FALSE)</f>
        <v>1.5221134236744052E-4</v>
      </c>
    </row>
    <row r="20" spans="1:14" x14ac:dyDescent="0.25">
      <c r="A20" t="s">
        <v>19</v>
      </c>
      <c r="B20" s="15" t="s">
        <v>85</v>
      </c>
      <c r="C20" s="1" t="s">
        <v>37</v>
      </c>
      <c r="E20" s="2"/>
      <c r="F20" s="19" t="s">
        <v>39</v>
      </c>
      <c r="H20" s="2"/>
      <c r="I20" s="1" t="s">
        <v>37</v>
      </c>
      <c r="K20" s="2"/>
      <c r="L20" s="34">
        <f>VLOOKUP(A20,'Migration Score Calcs'!$B$1:$F$30,5, FALSE)</f>
        <v>0.49006493293881964</v>
      </c>
    </row>
    <row r="21" spans="1:14" x14ac:dyDescent="0.25">
      <c r="A21" t="s">
        <v>20</v>
      </c>
      <c r="B21" s="15" t="s">
        <v>86</v>
      </c>
      <c r="C21" s="1" t="s">
        <v>40</v>
      </c>
      <c r="E21" s="2"/>
      <c r="F21" s="19" t="s">
        <v>40</v>
      </c>
      <c r="H21" s="2"/>
      <c r="I21" s="1" t="s">
        <v>40</v>
      </c>
      <c r="J21" t="s">
        <v>51</v>
      </c>
      <c r="K21" s="2" t="s">
        <v>134</v>
      </c>
      <c r="L21" s="34">
        <f>VLOOKUP(A21,'Migration Score Calcs'!$B$1:$F$30,5, FALSE)</f>
        <v>5.3467310241183764E-2</v>
      </c>
    </row>
    <row r="22" spans="1:14" x14ac:dyDescent="0.25">
      <c r="A22" t="s">
        <v>21</v>
      </c>
      <c r="B22" s="15" t="s">
        <v>87</v>
      </c>
      <c r="C22" s="1" t="s">
        <v>38</v>
      </c>
      <c r="E22" s="2" t="s">
        <v>136</v>
      </c>
      <c r="F22" s="19" t="s">
        <v>40</v>
      </c>
      <c r="H22" s="2"/>
      <c r="I22" s="1" t="s">
        <v>37</v>
      </c>
      <c r="J22" t="s">
        <v>53</v>
      </c>
      <c r="K22" s="2" t="s">
        <v>135</v>
      </c>
      <c r="L22" s="34">
        <f>VLOOKUP(A22,'Migration Score Calcs'!$B$1:$F$30,5, FALSE)</f>
        <v>0.42776284333308995</v>
      </c>
    </row>
    <row r="23" spans="1:14" x14ac:dyDescent="0.25">
      <c r="A23" t="s">
        <v>22</v>
      </c>
      <c r="B23" s="15" t="s">
        <v>88</v>
      </c>
      <c r="C23" s="1" t="s">
        <v>40</v>
      </c>
      <c r="E23" s="2"/>
      <c r="F23" s="19" t="s">
        <v>38</v>
      </c>
      <c r="G23" t="s">
        <v>60</v>
      </c>
      <c r="H23" s="2"/>
      <c r="I23" s="1" t="s">
        <v>40</v>
      </c>
      <c r="K23" s="2"/>
      <c r="L23" s="34">
        <f>VLOOKUP(A23,'Migration Score Calcs'!$B$1:$F$30,5, FALSE)</f>
        <v>9.9713070817779012E-2</v>
      </c>
    </row>
    <row r="24" spans="1:14" x14ac:dyDescent="0.25">
      <c r="A24" t="s">
        <v>23</v>
      </c>
      <c r="B24" s="15" t="s">
        <v>89</v>
      </c>
      <c r="C24" s="1" t="s">
        <v>40</v>
      </c>
      <c r="E24" s="2"/>
      <c r="F24" s="19" t="s">
        <v>40</v>
      </c>
      <c r="H24" s="2" t="s">
        <v>124</v>
      </c>
      <c r="I24" s="1" t="s">
        <v>40</v>
      </c>
      <c r="K24" s="2" t="s">
        <v>140</v>
      </c>
      <c r="L24" s="34">
        <f>VLOOKUP(A24,'Migration Score Calcs'!$B$1:$F$30,5, FALSE)</f>
        <v>0.13404598874366799</v>
      </c>
    </row>
    <row r="25" spans="1:14" x14ac:dyDescent="0.25">
      <c r="A25" t="s">
        <v>24</v>
      </c>
      <c r="B25" s="15" t="s">
        <v>90</v>
      </c>
      <c r="C25" s="1" t="s">
        <v>40</v>
      </c>
      <c r="E25" s="2"/>
      <c r="F25" s="19" t="s">
        <v>39</v>
      </c>
      <c r="H25" s="2"/>
      <c r="I25" s="1" t="s">
        <v>40</v>
      </c>
      <c r="K25" s="2"/>
      <c r="L25" s="34">
        <f>VLOOKUP(A25,'Migration Score Calcs'!$B$1:$F$30,5, FALSE)</f>
        <v>3.5796159079488271E-2</v>
      </c>
    </row>
    <row r="26" spans="1:14" x14ac:dyDescent="0.25">
      <c r="A26" t="s">
        <v>25</v>
      </c>
      <c r="B26" s="15" t="s">
        <v>91</v>
      </c>
      <c r="C26" s="1" t="s">
        <v>38</v>
      </c>
      <c r="D26" t="s">
        <v>121</v>
      </c>
      <c r="E26" s="2" t="s">
        <v>137</v>
      </c>
      <c r="F26" s="19" t="s">
        <v>40</v>
      </c>
      <c r="H26" s="2"/>
      <c r="I26" s="1" t="s">
        <v>39</v>
      </c>
      <c r="K26" s="2" t="s">
        <v>139</v>
      </c>
      <c r="L26" s="34">
        <f>VLOOKUP(A26,'Migration Score Calcs'!$B$1:$F$30,5, FALSE)</f>
        <v>0.13916710144401567</v>
      </c>
    </row>
    <row r="27" spans="1:14" x14ac:dyDescent="0.25">
      <c r="A27" t="s">
        <v>26</v>
      </c>
      <c r="B27" s="15" t="s">
        <v>92</v>
      </c>
      <c r="C27" s="1" t="s">
        <v>40</v>
      </c>
      <c r="E27" s="2"/>
      <c r="F27" s="19" t="s">
        <v>39</v>
      </c>
      <c r="H27" s="2"/>
      <c r="I27" s="1" t="s">
        <v>40</v>
      </c>
      <c r="K27" s="2"/>
      <c r="L27" s="34">
        <f>VLOOKUP(A27,'Migration Score Calcs'!$B$1:$F$30,5, FALSE)</f>
        <v>3.9602344731548111E-2</v>
      </c>
    </row>
    <row r="28" spans="1:14" x14ac:dyDescent="0.25">
      <c r="A28" t="s">
        <v>27</v>
      </c>
      <c r="B28" s="15" t="s">
        <v>93</v>
      </c>
      <c r="C28" s="1" t="s">
        <v>39</v>
      </c>
      <c r="D28" t="s">
        <v>60</v>
      </c>
      <c r="E28" t="s">
        <v>138</v>
      </c>
      <c r="F28" s="19" t="s">
        <v>40</v>
      </c>
      <c r="H28" s="2"/>
      <c r="I28" s="1" t="s">
        <v>39</v>
      </c>
      <c r="K28" s="2" t="s">
        <v>139</v>
      </c>
      <c r="L28" s="34">
        <f>VLOOKUP(A28,'Migration Score Calcs'!$B$1:$F$30,5, FALSE)</f>
        <v>7.8392149809106998E-2</v>
      </c>
    </row>
    <row r="29" spans="1:14" x14ac:dyDescent="0.25">
      <c r="A29" t="s">
        <v>28</v>
      </c>
      <c r="B29" s="15" t="s">
        <v>94</v>
      </c>
      <c r="C29" s="1" t="s">
        <v>39</v>
      </c>
      <c r="E29" s="2"/>
      <c r="F29" s="19" t="s">
        <v>39</v>
      </c>
      <c r="H29" s="2"/>
      <c r="I29" s="1" t="s">
        <v>39</v>
      </c>
      <c r="K29" s="2"/>
      <c r="L29" s="34">
        <f>VLOOKUP(A29,'Migration Score Calcs'!$B$1:$F$30,5, FALSE)</f>
        <v>1.0661785491494652E-2</v>
      </c>
    </row>
    <row r="30" spans="1:14" x14ac:dyDescent="0.25">
      <c r="A30" t="s">
        <v>29</v>
      </c>
      <c r="B30" s="15" t="s">
        <v>95</v>
      </c>
      <c r="C30" s="1" t="s">
        <v>40</v>
      </c>
      <c r="E30" s="2"/>
      <c r="F30" s="19" t="s">
        <v>40</v>
      </c>
      <c r="H30" s="2"/>
      <c r="I30" s="1" t="s">
        <v>40</v>
      </c>
      <c r="K30" s="2"/>
      <c r="L30" s="34">
        <f>VLOOKUP(A30,'Migration Score Calcs'!$B$1:$F$30,5, FALSE)</f>
        <v>3.9703611694673263E-2</v>
      </c>
    </row>
    <row r="31" spans="1:14" ht="15.75" thickBot="1" x14ac:dyDescent="0.3">
      <c r="A31" s="4" t="s">
        <v>30</v>
      </c>
      <c r="B31" s="15" t="s">
        <v>96</v>
      </c>
      <c r="C31" s="1" t="s">
        <v>39</v>
      </c>
      <c r="D31" s="4"/>
      <c r="E31" s="4" t="s">
        <v>122</v>
      </c>
      <c r="F31" s="19" t="s">
        <v>39</v>
      </c>
      <c r="G31" s="4"/>
      <c r="H31" s="5"/>
      <c r="I31" s="1" t="s">
        <v>39</v>
      </c>
      <c r="J31" s="4"/>
      <c r="K31" s="5"/>
      <c r="L31" s="34">
        <f>VLOOKUP(A31,'Migration Score Calcs'!$B$1:$F$30,5, FALSE)</f>
        <v>2.1019819053878383E-2</v>
      </c>
      <c r="M31" s="4"/>
      <c r="N31" s="4"/>
    </row>
    <row r="36" spans="1:17" x14ac:dyDescent="0.25">
      <c r="A36" s="22" t="s">
        <v>50</v>
      </c>
    </row>
    <row r="37" spans="1:17" x14ac:dyDescent="0.25">
      <c r="A37" t="s">
        <v>51</v>
      </c>
    </row>
    <row r="38" spans="1:17" x14ac:dyDescent="0.25">
      <c r="A38" t="s">
        <v>52</v>
      </c>
    </row>
    <row r="39" spans="1:17" x14ac:dyDescent="0.25">
      <c r="A39" t="s">
        <v>53</v>
      </c>
    </row>
    <row r="40" spans="1:17" x14ac:dyDescent="0.25">
      <c r="A40" t="s">
        <v>60</v>
      </c>
    </row>
    <row r="43" spans="1:17" ht="15.75" thickBot="1" x14ac:dyDescent="0.3">
      <c r="C43" s="26"/>
      <c r="D43" s="26" t="s">
        <v>101</v>
      </c>
      <c r="E43" s="27" t="s">
        <v>102</v>
      </c>
      <c r="G43" s="26" t="s">
        <v>101</v>
      </c>
      <c r="H43" s="26" t="s">
        <v>102</v>
      </c>
      <c r="J43" s="26" t="s">
        <v>101</v>
      </c>
      <c r="K43" s="26" t="s">
        <v>102</v>
      </c>
      <c r="M43" s="26" t="s">
        <v>101</v>
      </c>
      <c r="N43" s="26" t="s">
        <v>102</v>
      </c>
    </row>
    <row r="44" spans="1:17" x14ac:dyDescent="0.25">
      <c r="C44" s="28" t="s">
        <v>37</v>
      </c>
      <c r="D44" s="28">
        <f>COUNTIF(C$3:C$31,C44)</f>
        <v>6</v>
      </c>
      <c r="E44" s="29" t="s">
        <v>103</v>
      </c>
      <c r="G44" s="30">
        <f>COUNTIF(F$3:F$31,$C44)</f>
        <v>0</v>
      </c>
      <c r="H44" s="30" t="s">
        <v>103</v>
      </c>
      <c r="J44" s="30">
        <f>COUNTIF(I$3:I$31,$C44)</f>
        <v>7</v>
      </c>
      <c r="K44" s="30" t="s">
        <v>103</v>
      </c>
      <c r="M44" s="30">
        <f>COUNTIF(L$3:L$31,$C44)</f>
        <v>0</v>
      </c>
      <c r="N44" s="30" t="s">
        <v>103</v>
      </c>
    </row>
    <row r="45" spans="1:17" x14ac:dyDescent="0.25">
      <c r="C45" s="30" t="s">
        <v>38</v>
      </c>
      <c r="D45" s="28">
        <f>COUNTIF(C$3:C$31,C45)</f>
        <v>4</v>
      </c>
      <c r="E45" s="31">
        <f>D45/SUM(D$45:D$47)</f>
        <v>0.17391304347826086</v>
      </c>
      <c r="G45" s="30">
        <f>COUNTIF(F$3:F$31,$C45)</f>
        <v>5</v>
      </c>
      <c r="H45" s="32">
        <f>G45/SUM(G$45:G$47)</f>
        <v>0.17857142857142858</v>
      </c>
      <c r="J45" s="30">
        <f>COUNTIF(I$3:I$31,$C45)</f>
        <v>1</v>
      </c>
      <c r="K45" s="32">
        <f>J45/SUM(J$45:J$47)</f>
        <v>4.7619047619047616E-2</v>
      </c>
      <c r="M45" s="30">
        <f>COUNTIF(L$3:L$31,$C45)</f>
        <v>0</v>
      </c>
      <c r="N45" s="32" t="e">
        <f>M45/SUM(M$45:M$47)</f>
        <v>#DIV/0!</v>
      </c>
      <c r="Q45" s="33"/>
    </row>
    <row r="46" spans="1:17" x14ac:dyDescent="0.25">
      <c r="C46" s="30" t="s">
        <v>39</v>
      </c>
      <c r="D46" s="28">
        <f>COUNTIF(C$3:C$31,C46)</f>
        <v>5</v>
      </c>
      <c r="E46" s="31">
        <f t="shared" ref="E46:E47" si="0">D46/SUM(D$45:D$47)</f>
        <v>0.21739130434782608</v>
      </c>
      <c r="G46" s="30">
        <f>COUNTIF(F$3:F$31,$C46)</f>
        <v>12</v>
      </c>
      <c r="H46" s="32">
        <f t="shared" ref="H46:H47" si="1">G46/SUM(G$45:G$47)</f>
        <v>0.42857142857142855</v>
      </c>
      <c r="J46" s="30">
        <f>COUNTIF(I$3:I$31,$C46)</f>
        <v>6</v>
      </c>
      <c r="K46" s="32">
        <f t="shared" ref="K46:K47" si="2">J46/SUM(J$45:J$47)</f>
        <v>0.2857142857142857</v>
      </c>
      <c r="M46" s="30">
        <f>COUNTIF(L$3:L$31,$C46)</f>
        <v>0</v>
      </c>
      <c r="N46" s="32" t="e">
        <f t="shared" ref="N46:N47" si="3">M46/SUM(M$45:M$47)</f>
        <v>#DIV/0!</v>
      </c>
      <c r="Q46" s="33"/>
    </row>
    <row r="47" spans="1:17" x14ac:dyDescent="0.25">
      <c r="C47" s="30" t="s">
        <v>40</v>
      </c>
      <c r="D47" s="28">
        <f>COUNTIF(C$3:C$31,C47)</f>
        <v>14</v>
      </c>
      <c r="E47" s="31">
        <f t="shared" si="0"/>
        <v>0.60869565217391308</v>
      </c>
      <c r="G47" s="30">
        <f>COUNTIF(F$3:F$31,$C47)</f>
        <v>11</v>
      </c>
      <c r="H47" s="32">
        <f t="shared" si="1"/>
        <v>0.39285714285714285</v>
      </c>
      <c r="J47" s="30">
        <f>COUNTIF(I$3:I$31,$C47)</f>
        <v>14</v>
      </c>
      <c r="K47" s="32">
        <f t="shared" si="2"/>
        <v>0.66666666666666663</v>
      </c>
      <c r="M47" s="30">
        <f>COUNTIF(L$3:L$31,$C47)</f>
        <v>0</v>
      </c>
      <c r="N47" s="32" t="e">
        <f t="shared" si="3"/>
        <v>#DIV/0!</v>
      </c>
      <c r="Q47" s="33"/>
    </row>
  </sheetData>
  <phoneticPr fontId="2" type="noConversion"/>
  <dataValidations count="1">
    <dataValidation type="list" allowBlank="1" showInputMessage="1" showErrorMessage="1" sqref="F3:F31 O3:O31 C3:C31 I3:I31" xr:uid="{7B39D53C-34A4-410E-9CC7-E9A830A7C18E}">
      <formula1>#REF!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FE96-E4AF-497A-8803-608B3F6CE19F}">
  <dimension ref="A1:Q47"/>
  <sheetViews>
    <sheetView workbookViewId="0">
      <selection activeCell="C3" sqref="C3"/>
    </sheetView>
  </sheetViews>
  <sheetFormatPr defaultColWidth="8.85546875" defaultRowHeight="15" x14ac:dyDescent="0.25"/>
  <cols>
    <col min="2" max="2" width="35.7109375" customWidth="1"/>
    <col min="3" max="3" width="10.7109375" customWidth="1"/>
    <col min="4" max="4" width="13" customWidth="1"/>
    <col min="5" max="5" width="33.7109375" customWidth="1"/>
    <col min="6" max="6" width="12.7109375" customWidth="1"/>
    <col min="7" max="7" width="10.28515625" customWidth="1"/>
    <col min="8" max="8" width="49.140625" customWidth="1"/>
    <col min="9" max="9" width="14.5703125" customWidth="1"/>
    <col min="10" max="10" width="32" customWidth="1"/>
    <col min="11" max="11" width="14.5703125" customWidth="1"/>
    <col min="13" max="13" width="36.85546875" customWidth="1"/>
  </cols>
  <sheetData>
    <row r="1" spans="1:15" ht="15.75" thickBot="1" x14ac:dyDescent="0.3">
      <c r="C1" s="3" t="s">
        <v>110</v>
      </c>
      <c r="E1" s="2"/>
      <c r="F1" s="3" t="s">
        <v>113</v>
      </c>
    </row>
    <row r="2" spans="1:15" ht="16.5" thickBot="1" x14ac:dyDescent="0.3">
      <c r="A2" s="16" t="s">
        <v>8</v>
      </c>
      <c r="B2" s="20"/>
      <c r="C2" s="17" t="s">
        <v>42</v>
      </c>
      <c r="D2" s="16" t="s">
        <v>43</v>
      </c>
      <c r="E2" s="18" t="s">
        <v>44</v>
      </c>
      <c r="F2" s="17" t="s">
        <v>42</v>
      </c>
      <c r="G2" s="16" t="s">
        <v>43</v>
      </c>
      <c r="H2" s="16" t="s">
        <v>44</v>
      </c>
    </row>
    <row r="3" spans="1:15" x14ac:dyDescent="0.25">
      <c r="A3" t="s">
        <v>32</v>
      </c>
      <c r="B3" s="15" t="s">
        <v>97</v>
      </c>
      <c r="C3" s="1" t="s">
        <v>37</v>
      </c>
      <c r="E3" s="2"/>
      <c r="F3" s="1" t="s">
        <v>39</v>
      </c>
    </row>
    <row r="4" spans="1:15" x14ac:dyDescent="0.25">
      <c r="A4" t="s">
        <v>68</v>
      </c>
      <c r="B4" s="15" t="s">
        <v>98</v>
      </c>
      <c r="C4" s="1" t="s">
        <v>37</v>
      </c>
      <c r="E4" s="2"/>
      <c r="F4" s="1" t="s">
        <v>39</v>
      </c>
    </row>
    <row r="5" spans="1:15" x14ac:dyDescent="0.25">
      <c r="A5" t="s">
        <v>69</v>
      </c>
      <c r="B5" s="15" t="s">
        <v>100</v>
      </c>
      <c r="C5" s="1" t="s">
        <v>37</v>
      </c>
      <c r="E5" s="2"/>
      <c r="F5" s="1" t="s">
        <v>37</v>
      </c>
    </row>
    <row r="6" spans="1:15" x14ac:dyDescent="0.25">
      <c r="A6" t="s">
        <v>70</v>
      </c>
      <c r="B6" s="15" t="s">
        <v>99</v>
      </c>
      <c r="C6" s="1" t="s">
        <v>37</v>
      </c>
      <c r="E6" s="2"/>
      <c r="F6" s="1" t="s">
        <v>37</v>
      </c>
    </row>
    <row r="7" spans="1:15" x14ac:dyDescent="0.25">
      <c r="A7" t="s">
        <v>33</v>
      </c>
      <c r="B7" s="15" t="s">
        <v>72</v>
      </c>
      <c r="C7" s="1" t="s">
        <v>37</v>
      </c>
      <c r="E7" s="2"/>
      <c r="F7" s="1" t="s">
        <v>39</v>
      </c>
    </row>
    <row r="8" spans="1:15" x14ac:dyDescent="0.25">
      <c r="A8" t="s">
        <v>45</v>
      </c>
      <c r="B8" s="15" t="s">
        <v>73</v>
      </c>
      <c r="C8" s="1" t="s">
        <v>37</v>
      </c>
      <c r="E8" s="2"/>
      <c r="F8" s="1" t="s">
        <v>40</v>
      </c>
    </row>
    <row r="9" spans="1:15" x14ac:dyDescent="0.25">
      <c r="A9" t="s">
        <v>34</v>
      </c>
      <c r="B9" s="15" t="s">
        <v>74</v>
      </c>
      <c r="C9" s="1" t="s">
        <v>39</v>
      </c>
      <c r="D9" t="s">
        <v>60</v>
      </c>
      <c r="E9" s="2" t="s">
        <v>104</v>
      </c>
      <c r="F9" s="1" t="s">
        <v>40</v>
      </c>
    </row>
    <row r="10" spans="1:15" x14ac:dyDescent="0.25">
      <c r="A10" t="s">
        <v>35</v>
      </c>
      <c r="B10" s="15" t="s">
        <v>75</v>
      </c>
      <c r="C10" s="1" t="s">
        <v>37</v>
      </c>
      <c r="E10" s="2"/>
      <c r="F10" s="1" t="s">
        <v>37</v>
      </c>
    </row>
    <row r="11" spans="1:15" x14ac:dyDescent="0.25">
      <c r="A11" t="s">
        <v>36</v>
      </c>
      <c r="B11" s="15" t="s">
        <v>76</v>
      </c>
      <c r="C11" s="1" t="s">
        <v>40</v>
      </c>
      <c r="E11" s="2"/>
      <c r="F11" s="1" t="s">
        <v>38</v>
      </c>
    </row>
    <row r="12" spans="1:15" x14ac:dyDescent="0.25">
      <c r="A12" t="s">
        <v>11</v>
      </c>
      <c r="B12" s="15" t="s">
        <v>77</v>
      </c>
      <c r="C12" s="1" t="s">
        <v>40</v>
      </c>
      <c r="E12" s="2"/>
      <c r="F12" s="1" t="s">
        <v>40</v>
      </c>
    </row>
    <row r="13" spans="1:15" x14ac:dyDescent="0.25">
      <c r="A13" t="s">
        <v>12</v>
      </c>
      <c r="B13" s="15" t="s">
        <v>78</v>
      </c>
      <c r="C13" s="1" t="s">
        <v>37</v>
      </c>
      <c r="E13" s="2"/>
      <c r="F13" s="1" t="s">
        <v>37</v>
      </c>
    </row>
    <row r="14" spans="1:15" x14ac:dyDescent="0.25">
      <c r="A14" t="s">
        <v>13</v>
      </c>
      <c r="B14" s="15" t="s">
        <v>79</v>
      </c>
      <c r="C14" s="1" t="s">
        <v>37</v>
      </c>
      <c r="E14" s="2"/>
      <c r="F14" s="1" t="s">
        <v>40</v>
      </c>
      <c r="H14" t="s">
        <v>112</v>
      </c>
    </row>
    <row r="15" spans="1:15" x14ac:dyDescent="0.25">
      <c r="A15" t="s">
        <v>14</v>
      </c>
      <c r="B15" s="15" t="s">
        <v>80</v>
      </c>
      <c r="C15" s="1" t="s">
        <v>37</v>
      </c>
      <c r="E15" s="2"/>
      <c r="F15" s="1" t="s">
        <v>37</v>
      </c>
    </row>
    <row r="16" spans="1:15" x14ac:dyDescent="0.25">
      <c r="A16" t="s">
        <v>15</v>
      </c>
      <c r="B16" s="15" t="s">
        <v>81</v>
      </c>
      <c r="C16" s="1" t="s">
        <v>37</v>
      </c>
      <c r="E16" s="2"/>
      <c r="F16" s="1" t="s">
        <v>38</v>
      </c>
    </row>
    <row r="17" spans="1:8" x14ac:dyDescent="0.25">
      <c r="A17" t="s">
        <v>16</v>
      </c>
      <c r="B17" s="15" t="s">
        <v>82</v>
      </c>
      <c r="C17" s="1" t="s">
        <v>40</v>
      </c>
      <c r="E17" s="2" t="s">
        <v>107</v>
      </c>
      <c r="F17" s="1" t="s">
        <v>39</v>
      </c>
      <c r="H17" t="s">
        <v>114</v>
      </c>
    </row>
    <row r="18" spans="1:8" x14ac:dyDescent="0.25">
      <c r="A18" t="s">
        <v>17</v>
      </c>
      <c r="B18" s="15" t="s">
        <v>83</v>
      </c>
      <c r="C18" s="1" t="s">
        <v>37</v>
      </c>
      <c r="E18" s="2"/>
      <c r="F18" s="1" t="s">
        <v>38</v>
      </c>
    </row>
    <row r="19" spans="1:8" x14ac:dyDescent="0.25">
      <c r="A19" t="s">
        <v>18</v>
      </c>
      <c r="B19" s="15" t="s">
        <v>84</v>
      </c>
      <c r="C19" s="1" t="s">
        <v>37</v>
      </c>
      <c r="E19" s="2"/>
      <c r="F19" s="1" t="s">
        <v>37</v>
      </c>
    </row>
    <row r="20" spans="1:8" x14ac:dyDescent="0.25">
      <c r="A20" t="s">
        <v>19</v>
      </c>
      <c r="B20" s="15" t="s">
        <v>85</v>
      </c>
      <c r="C20" s="1" t="s">
        <v>37</v>
      </c>
      <c r="E20" s="2"/>
      <c r="F20" s="1" t="s">
        <v>38</v>
      </c>
    </row>
    <row r="21" spans="1:8" x14ac:dyDescent="0.25">
      <c r="A21" t="s">
        <v>20</v>
      </c>
      <c r="B21" s="15" t="s">
        <v>86</v>
      </c>
      <c r="C21" s="1" t="s">
        <v>37</v>
      </c>
      <c r="E21" s="2"/>
      <c r="F21" s="1" t="s">
        <v>37</v>
      </c>
    </row>
    <row r="22" spans="1:8" x14ac:dyDescent="0.25">
      <c r="A22" t="s">
        <v>21</v>
      </c>
      <c r="B22" s="15" t="s">
        <v>87</v>
      </c>
      <c r="C22" s="1" t="s">
        <v>37</v>
      </c>
      <c r="E22" s="2"/>
      <c r="F22" s="1" t="s">
        <v>39</v>
      </c>
    </row>
    <row r="23" spans="1:8" x14ac:dyDescent="0.25">
      <c r="A23" t="s">
        <v>22</v>
      </c>
      <c r="B23" s="15" t="s">
        <v>88</v>
      </c>
      <c r="C23" s="1" t="s">
        <v>37</v>
      </c>
      <c r="E23" s="2"/>
      <c r="F23" s="1" t="s">
        <v>37</v>
      </c>
    </row>
    <row r="24" spans="1:8" x14ac:dyDescent="0.25">
      <c r="A24" t="s">
        <v>23</v>
      </c>
      <c r="B24" s="15" t="s">
        <v>89</v>
      </c>
      <c r="C24" s="1" t="s">
        <v>37</v>
      </c>
      <c r="E24" s="2"/>
      <c r="F24" s="1" t="s">
        <v>37</v>
      </c>
    </row>
    <row r="25" spans="1:8" x14ac:dyDescent="0.25">
      <c r="A25" t="s">
        <v>24</v>
      </c>
      <c r="B25" s="15" t="s">
        <v>90</v>
      </c>
      <c r="C25" s="1" t="s">
        <v>40</v>
      </c>
      <c r="E25" s="2" t="s">
        <v>109</v>
      </c>
      <c r="F25" s="1" t="s">
        <v>39</v>
      </c>
      <c r="H25" t="s">
        <v>115</v>
      </c>
    </row>
    <row r="26" spans="1:8" x14ac:dyDescent="0.25">
      <c r="A26" t="s">
        <v>25</v>
      </c>
      <c r="B26" s="15" t="s">
        <v>91</v>
      </c>
      <c r="C26" s="1" t="s">
        <v>37</v>
      </c>
      <c r="E26" s="2"/>
      <c r="F26" s="1" t="s">
        <v>40</v>
      </c>
    </row>
    <row r="27" spans="1:8" x14ac:dyDescent="0.25">
      <c r="A27" t="s">
        <v>26</v>
      </c>
      <c r="B27" s="15" t="s">
        <v>92</v>
      </c>
      <c r="C27" s="1" t="s">
        <v>37</v>
      </c>
      <c r="E27" s="2"/>
      <c r="F27" s="1" t="s">
        <v>37</v>
      </c>
    </row>
    <row r="28" spans="1:8" x14ac:dyDescent="0.25">
      <c r="A28" t="s">
        <v>27</v>
      </c>
      <c r="B28" s="15" t="s">
        <v>93</v>
      </c>
      <c r="C28" s="1" t="s">
        <v>37</v>
      </c>
      <c r="E28" s="2"/>
      <c r="F28" s="1" t="s">
        <v>40</v>
      </c>
    </row>
    <row r="29" spans="1:8" x14ac:dyDescent="0.25">
      <c r="A29" t="s">
        <v>28</v>
      </c>
      <c r="B29" s="15" t="s">
        <v>94</v>
      </c>
      <c r="C29" s="1" t="s">
        <v>40</v>
      </c>
      <c r="E29" t="s">
        <v>108</v>
      </c>
      <c r="F29" s="1" t="s">
        <v>38</v>
      </c>
    </row>
    <row r="30" spans="1:8" x14ac:dyDescent="0.25">
      <c r="A30" t="s">
        <v>29</v>
      </c>
      <c r="B30" s="15" t="s">
        <v>95</v>
      </c>
      <c r="C30" s="1" t="s">
        <v>40</v>
      </c>
      <c r="E30" s="2" t="s">
        <v>106</v>
      </c>
      <c r="F30" s="1" t="s">
        <v>39</v>
      </c>
      <c r="H30" t="s">
        <v>116</v>
      </c>
    </row>
    <row r="31" spans="1:8" ht="15.75" thickBot="1" x14ac:dyDescent="0.3">
      <c r="A31" s="4" t="s">
        <v>30</v>
      </c>
      <c r="B31" s="15" t="s">
        <v>96</v>
      </c>
      <c r="C31" s="1" t="s">
        <v>40</v>
      </c>
      <c r="D31" s="4"/>
      <c r="E31" s="5" t="s">
        <v>105</v>
      </c>
      <c r="F31" s="1" t="s">
        <v>40</v>
      </c>
      <c r="G31" s="4"/>
      <c r="H31" s="4"/>
    </row>
    <row r="35" spans="3:17" hidden="1" x14ac:dyDescent="0.25"/>
    <row r="36" spans="3:17" hidden="1" x14ac:dyDescent="0.25"/>
    <row r="37" spans="3:17" hidden="1" x14ac:dyDescent="0.25"/>
    <row r="38" spans="3:17" hidden="1" x14ac:dyDescent="0.25"/>
    <row r="39" spans="3:17" hidden="1" x14ac:dyDescent="0.25"/>
    <row r="40" spans="3:17" hidden="1" x14ac:dyDescent="0.25"/>
    <row r="41" spans="3:17" hidden="1" x14ac:dyDescent="0.25"/>
    <row r="42" spans="3:17" hidden="1" x14ac:dyDescent="0.25"/>
    <row r="43" spans="3:17" ht="15.75" thickBot="1" x14ac:dyDescent="0.3">
      <c r="C43" s="26"/>
      <c r="D43" s="26" t="s">
        <v>101</v>
      </c>
      <c r="E43" s="27" t="s">
        <v>102</v>
      </c>
      <c r="G43" s="26" t="s">
        <v>101</v>
      </c>
      <c r="H43" s="27" t="s">
        <v>102</v>
      </c>
    </row>
    <row r="44" spans="3:17" x14ac:dyDescent="0.25">
      <c r="C44" s="28" t="s">
        <v>37</v>
      </c>
      <c r="D44" s="28">
        <f>COUNTIF(C$3:C$31,C44)</f>
        <v>21</v>
      </c>
      <c r="E44" s="29" t="s">
        <v>103</v>
      </c>
      <c r="G44" s="30">
        <f>COUNTIF(F$3:F$31,$C44)</f>
        <v>10</v>
      </c>
      <c r="H44" s="35" t="s">
        <v>103</v>
      </c>
    </row>
    <row r="45" spans="3:17" x14ac:dyDescent="0.25">
      <c r="C45" s="30" t="s">
        <v>38</v>
      </c>
      <c r="D45" s="28">
        <f>COUNTIF(C$3:C$31,C45)</f>
        <v>0</v>
      </c>
      <c r="E45" s="31">
        <f>D45/SUM(D$45:D$47)</f>
        <v>0</v>
      </c>
      <c r="G45" s="30">
        <f>COUNTIF(F$3:F$31,$C45)</f>
        <v>5</v>
      </c>
      <c r="H45" s="31">
        <f>G45/SUM(G$45:G$47)</f>
        <v>0.26315789473684209</v>
      </c>
      <c r="K45" s="36"/>
      <c r="N45" s="36"/>
      <c r="Q45" s="36"/>
    </row>
    <row r="46" spans="3:17" x14ac:dyDescent="0.25">
      <c r="C46" s="30" t="s">
        <v>39</v>
      </c>
      <c r="D46" s="28">
        <f>COUNTIF(C$3:C$31,C46)</f>
        <v>1</v>
      </c>
      <c r="E46" s="31">
        <f t="shared" ref="E46:E47" si="0">D46/SUM(D$45:D$47)</f>
        <v>0.125</v>
      </c>
      <c r="G46" s="30">
        <f>COUNTIF(F$3:F$31,$C46)</f>
        <v>7</v>
      </c>
      <c r="H46" s="31">
        <f t="shared" ref="H46:H47" si="1">G46/SUM(G$45:G$47)</f>
        <v>0.36842105263157893</v>
      </c>
      <c r="K46" s="36"/>
      <c r="N46" s="36"/>
      <c r="Q46" s="36"/>
    </row>
    <row r="47" spans="3:17" x14ac:dyDescent="0.25">
      <c r="C47" s="30" t="s">
        <v>40</v>
      </c>
      <c r="D47" s="28">
        <f>COUNTIF(C$3:C$31,C47)</f>
        <v>7</v>
      </c>
      <c r="E47" s="31">
        <f t="shared" si="0"/>
        <v>0.875</v>
      </c>
      <c r="G47" s="30">
        <f>COUNTIF(F$3:F$31,$C47)</f>
        <v>7</v>
      </c>
      <c r="H47" s="31">
        <f t="shared" si="1"/>
        <v>0.36842105263157893</v>
      </c>
      <c r="K47" s="36"/>
      <c r="N47" s="36"/>
      <c r="Q47" s="36"/>
    </row>
  </sheetData>
  <phoneticPr fontId="2" type="noConversion"/>
  <conditionalFormatting sqref="C3:C31 C33:C35">
    <cfRule type="iconSet" priority="2">
      <iconSet>
        <cfvo type="percent" val="0"/>
        <cfvo type="percent" val="33"/>
        <cfvo type="percent" val="$C$33"/>
      </iconSet>
    </cfRule>
  </conditionalFormatting>
  <dataValidations count="1">
    <dataValidation type="list" allowBlank="1" showInputMessage="1" showErrorMessage="1" sqref="I3:I31 O3:O31 F3:F31 C3:C31" xr:uid="{86AEFEDC-B727-4032-99D5-9592A62D8AAF}">
      <formula1>#REF!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AC42B62-961A-4B55-9CFF-7D19E77A6673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C3:C31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8E33E-9E78-44BE-9CE4-AFD95B7B2AC6}">
  <dimension ref="A1:F30"/>
  <sheetViews>
    <sheetView showGridLines="0" workbookViewId="0">
      <selection activeCell="E5" sqref="E5"/>
    </sheetView>
  </sheetViews>
  <sheetFormatPr defaultRowHeight="15" x14ac:dyDescent="0.25"/>
  <cols>
    <col min="3" max="3" width="10" customWidth="1"/>
    <col min="4" max="4" width="11.85546875" customWidth="1"/>
    <col min="6" max="6" width="11.42578125" customWidth="1"/>
  </cols>
  <sheetData>
    <row r="1" spans="1:6" ht="45" x14ac:dyDescent="0.25">
      <c r="C1" s="21" t="s">
        <v>46</v>
      </c>
      <c r="D1" s="21" t="s">
        <v>48</v>
      </c>
      <c r="E1" s="21" t="s">
        <v>47</v>
      </c>
      <c r="F1" s="21" t="s">
        <v>49</v>
      </c>
    </row>
    <row r="2" spans="1:6" x14ac:dyDescent="0.25">
      <c r="A2">
        <v>1</v>
      </c>
      <c r="B2" t="s">
        <v>32</v>
      </c>
      <c r="C2">
        <v>78.487979999999993</v>
      </c>
      <c r="D2">
        <v>136.12617900000001</v>
      </c>
      <c r="E2" s="25">
        <f>C2/MAX(C$2:C$30)</f>
        <v>0.33817750500037541</v>
      </c>
      <c r="F2" s="25">
        <f>D2/MAX(D$2:D$30)</f>
        <v>0.16661934330698802</v>
      </c>
    </row>
    <row r="3" spans="1:6" x14ac:dyDescent="0.25">
      <c r="A3">
        <v>2</v>
      </c>
      <c r="B3" t="s">
        <v>68</v>
      </c>
      <c r="C3" s="70">
        <f>51.979789-(C4+C5)</f>
        <v>35.820104999999998</v>
      </c>
      <c r="D3" s="70">
        <f>112.978038-(D4+D5)</f>
        <v>67.166043000000002</v>
      </c>
      <c r="E3" s="25">
        <f t="shared" ref="E3:E30" si="0">C3/MAX(C$2:C$30)</f>
        <v>0.15433641861787592</v>
      </c>
      <c r="F3" s="25">
        <f t="shared" ref="F3:F30" si="1">D3/MAX(D$2:D$30)</f>
        <v>8.2211680805269055E-2</v>
      </c>
    </row>
    <row r="4" spans="1:6" x14ac:dyDescent="0.25">
      <c r="A4">
        <v>3</v>
      </c>
      <c r="B4" t="s">
        <v>69</v>
      </c>
      <c r="C4" s="71">
        <v>8.1496840000000006</v>
      </c>
      <c r="D4" s="71">
        <v>38.112138999999999</v>
      </c>
      <c r="E4" s="25">
        <f t="shared" si="0"/>
        <v>3.511416399888849E-2</v>
      </c>
      <c r="F4" s="25">
        <f t="shared" si="1"/>
        <v>4.6649510173973563E-2</v>
      </c>
    </row>
    <row r="5" spans="1:6" x14ac:dyDescent="0.25">
      <c r="A5">
        <v>4</v>
      </c>
      <c r="B5" t="s">
        <v>70</v>
      </c>
      <c r="C5" s="71">
        <v>8.01</v>
      </c>
      <c r="D5" s="71">
        <v>7.6998559999999996</v>
      </c>
      <c r="E5" s="25">
        <f t="shared" si="0"/>
        <v>3.4512314051820508E-2</v>
      </c>
      <c r="F5" s="25">
        <f t="shared" si="1"/>
        <v>9.4246746636322716E-3</v>
      </c>
    </row>
    <row r="6" spans="1:6" x14ac:dyDescent="0.25">
      <c r="A6">
        <v>5</v>
      </c>
      <c r="B6" t="s">
        <v>33</v>
      </c>
      <c r="C6">
        <v>37.543568</v>
      </c>
      <c r="D6">
        <v>52.227460000000001</v>
      </c>
      <c r="E6" s="25">
        <f t="shared" si="0"/>
        <v>0.16176222340098365</v>
      </c>
      <c r="F6" s="25">
        <f t="shared" si="1"/>
        <v>6.39267564234796E-2</v>
      </c>
    </row>
    <row r="7" spans="1:6" x14ac:dyDescent="0.25">
      <c r="A7">
        <v>6</v>
      </c>
      <c r="B7" t="s">
        <v>45</v>
      </c>
      <c r="C7">
        <v>33.685881999999999</v>
      </c>
      <c r="D7">
        <v>48.369774</v>
      </c>
      <c r="E7" s="25">
        <f t="shared" si="0"/>
        <v>0.1451407913478861</v>
      </c>
      <c r="F7" s="25">
        <f t="shared" si="1"/>
        <v>5.9204923248359326E-2</v>
      </c>
    </row>
    <row r="8" spans="1:6" x14ac:dyDescent="0.25">
      <c r="A8">
        <v>7</v>
      </c>
      <c r="B8" t="s">
        <v>34</v>
      </c>
      <c r="C8">
        <v>24.352520999999999</v>
      </c>
      <c r="D8">
        <v>39.036413000000003</v>
      </c>
      <c r="E8" s="25">
        <f t="shared" si="0"/>
        <v>0.10492657337147991</v>
      </c>
      <c r="F8" s="25">
        <f t="shared" si="1"/>
        <v>4.77808276622557E-2</v>
      </c>
    </row>
    <row r="9" spans="1:6" x14ac:dyDescent="0.25">
      <c r="A9">
        <v>8</v>
      </c>
      <c r="B9" t="s">
        <v>35</v>
      </c>
      <c r="C9">
        <v>3.3597380000000001</v>
      </c>
      <c r="D9">
        <v>7.4662030000000001</v>
      </c>
      <c r="E9" s="25">
        <f t="shared" si="0"/>
        <v>1.4475946690116773E-2</v>
      </c>
      <c r="F9" s="25">
        <f t="shared" si="1"/>
        <v>9.1386818464702802E-3</v>
      </c>
    </row>
    <row r="10" spans="1:6" x14ac:dyDescent="0.25">
      <c r="A10">
        <v>9</v>
      </c>
      <c r="B10" t="s">
        <v>36</v>
      </c>
      <c r="C10">
        <v>15.555474999999999</v>
      </c>
      <c r="D10">
        <v>24.639275999999999</v>
      </c>
      <c r="E10" s="25">
        <f t="shared" si="0"/>
        <v>6.702315086457461E-2</v>
      </c>
      <c r="F10" s="25">
        <f t="shared" si="1"/>
        <v>3.0158636765082712E-2</v>
      </c>
    </row>
    <row r="11" spans="1:6" x14ac:dyDescent="0.25">
      <c r="A11">
        <v>10</v>
      </c>
      <c r="B11" t="s">
        <v>11</v>
      </c>
      <c r="C11">
        <v>2.987079</v>
      </c>
      <c r="D11">
        <v>52.235728999999999</v>
      </c>
      <c r="E11" s="25">
        <f t="shared" si="0"/>
        <v>1.287028820793982E-2</v>
      </c>
      <c r="F11" s="25">
        <f t="shared" si="1"/>
        <v>6.3936877734163025E-2</v>
      </c>
    </row>
    <row r="12" spans="1:6" x14ac:dyDescent="0.25">
      <c r="A12">
        <v>11</v>
      </c>
      <c r="B12" t="s">
        <v>12</v>
      </c>
      <c r="C12">
        <v>0.37317499999999998</v>
      </c>
      <c r="D12">
        <v>55.710923000000001</v>
      </c>
      <c r="E12" s="25">
        <f t="shared" si="0"/>
        <v>1.607881747351825E-3</v>
      </c>
      <c r="F12" s="25">
        <f t="shared" si="1"/>
        <v>6.8190538171839635E-2</v>
      </c>
    </row>
    <row r="13" spans="1:6" x14ac:dyDescent="0.25">
      <c r="A13">
        <v>12</v>
      </c>
      <c r="B13" t="s">
        <v>13</v>
      </c>
      <c r="C13">
        <v>232.09107299999999</v>
      </c>
      <c r="D13">
        <v>816.98905000000002</v>
      </c>
      <c r="E13" s="25">
        <f t="shared" si="0"/>
        <v>1</v>
      </c>
      <c r="F13" s="25">
        <f t="shared" si="1"/>
        <v>1</v>
      </c>
    </row>
    <row r="14" spans="1:6" x14ac:dyDescent="0.25">
      <c r="A14">
        <v>13</v>
      </c>
      <c r="B14" t="s">
        <v>14</v>
      </c>
      <c r="C14">
        <v>0.24884800000000001</v>
      </c>
      <c r="D14">
        <v>38.801282</v>
      </c>
      <c r="E14" s="25">
        <f t="shared" si="0"/>
        <v>1.0721997911569826E-3</v>
      </c>
      <c r="F14" s="25">
        <f t="shared" si="1"/>
        <v>4.7493025763319596E-2</v>
      </c>
    </row>
    <row r="15" spans="1:6" x14ac:dyDescent="0.25">
      <c r="A15">
        <v>14</v>
      </c>
      <c r="B15" t="s">
        <v>15</v>
      </c>
      <c r="C15">
        <v>210.582368</v>
      </c>
      <c r="D15">
        <v>690.89394600000003</v>
      </c>
      <c r="E15" s="25">
        <f t="shared" si="0"/>
        <v>0.90732644421873132</v>
      </c>
      <c r="F15" s="25">
        <f t="shared" si="1"/>
        <v>0.84565875882914221</v>
      </c>
    </row>
    <row r="16" spans="1:6" x14ac:dyDescent="0.25">
      <c r="A16">
        <v>15</v>
      </c>
      <c r="B16" t="s">
        <v>16</v>
      </c>
      <c r="C16">
        <v>12.942382</v>
      </c>
      <c r="D16">
        <v>81.214955000000003</v>
      </c>
      <c r="E16" s="25">
        <f t="shared" si="0"/>
        <v>5.57642387219262E-2</v>
      </c>
      <c r="F16" s="25">
        <f t="shared" si="1"/>
        <v>9.9407641999608193E-2</v>
      </c>
    </row>
    <row r="17" spans="1:6" x14ac:dyDescent="0.25">
      <c r="A17">
        <v>16</v>
      </c>
      <c r="B17" t="s">
        <v>17</v>
      </c>
      <c r="C17">
        <v>101.604073</v>
      </c>
      <c r="D17">
        <v>417.45244600000001</v>
      </c>
      <c r="E17" s="25">
        <f t="shared" si="0"/>
        <v>0.43777673861674121</v>
      </c>
      <c r="F17" s="25">
        <f t="shared" si="1"/>
        <v>0.51096455454329526</v>
      </c>
    </row>
    <row r="18" spans="1:6" x14ac:dyDescent="0.25">
      <c r="A18">
        <v>17</v>
      </c>
      <c r="B18" t="s">
        <v>18</v>
      </c>
      <c r="C18">
        <v>3.8577819999999998</v>
      </c>
      <c r="D18">
        <v>0.12435499999999999</v>
      </c>
      <c r="E18" s="25">
        <f t="shared" si="0"/>
        <v>1.6621845683827744E-2</v>
      </c>
      <c r="F18" s="25">
        <f t="shared" si="1"/>
        <v>1.5221134236744052E-4</v>
      </c>
    </row>
    <row r="19" spans="1:6" x14ac:dyDescent="0.25">
      <c r="A19">
        <v>18</v>
      </c>
      <c r="B19" t="s">
        <v>19</v>
      </c>
      <c r="C19">
        <v>88.187973</v>
      </c>
      <c r="D19">
        <v>400.37768399999999</v>
      </c>
      <c r="E19" s="25">
        <f t="shared" si="0"/>
        <v>0.37997141320467764</v>
      </c>
      <c r="F19" s="25">
        <f t="shared" si="1"/>
        <v>0.49006493293881964</v>
      </c>
    </row>
    <row r="20" spans="1:6" x14ac:dyDescent="0.25">
      <c r="A20">
        <v>19</v>
      </c>
      <c r="B20" t="s">
        <v>20</v>
      </c>
      <c r="C20">
        <v>0.12442499999999999</v>
      </c>
      <c r="D20">
        <v>43.682206999999998</v>
      </c>
      <c r="E20" s="25">
        <f t="shared" si="0"/>
        <v>5.3610420423193098E-4</v>
      </c>
      <c r="F20" s="25">
        <f t="shared" si="1"/>
        <v>5.3467310241183764E-2</v>
      </c>
    </row>
    <row r="21" spans="1:6" x14ac:dyDescent="0.25">
      <c r="A21">
        <v>20</v>
      </c>
      <c r="B21" t="s">
        <v>21</v>
      </c>
      <c r="C21">
        <v>80.84563</v>
      </c>
      <c r="D21">
        <v>349.47755899999999</v>
      </c>
      <c r="E21" s="25">
        <f t="shared" si="0"/>
        <v>0.34833580178243218</v>
      </c>
      <c r="F21" s="25">
        <f t="shared" si="1"/>
        <v>0.42776284333308995</v>
      </c>
    </row>
    <row r="22" spans="1:6" x14ac:dyDescent="0.25">
      <c r="A22">
        <v>21</v>
      </c>
      <c r="B22" t="s">
        <v>22</v>
      </c>
      <c r="C22">
        <v>0.37333</v>
      </c>
      <c r="D22">
        <v>81.464487000000005</v>
      </c>
      <c r="E22" s="25">
        <f t="shared" si="0"/>
        <v>1.6085495886349753E-3</v>
      </c>
      <c r="F22" s="25">
        <f t="shared" si="1"/>
        <v>9.9713070817779012E-2</v>
      </c>
    </row>
    <row r="23" spans="1:6" x14ac:dyDescent="0.25">
      <c r="A23">
        <v>22</v>
      </c>
      <c r="B23" t="s">
        <v>23</v>
      </c>
      <c r="C23">
        <v>12.195399</v>
      </c>
      <c r="D23">
        <v>109.514105</v>
      </c>
      <c r="E23" s="25">
        <f t="shared" si="0"/>
        <v>5.2545747849595231E-2</v>
      </c>
      <c r="F23" s="25">
        <f t="shared" si="1"/>
        <v>0.13404598874366799</v>
      </c>
    </row>
    <row r="24" spans="1:6" x14ac:dyDescent="0.25">
      <c r="A24">
        <v>23</v>
      </c>
      <c r="B24" t="s">
        <v>24</v>
      </c>
      <c r="C24">
        <v>0.37321599999999999</v>
      </c>
      <c r="D24">
        <v>29.245069999999998</v>
      </c>
      <c r="E24" s="25">
        <f t="shared" si="0"/>
        <v>1.6080584021428519E-3</v>
      </c>
      <c r="F24" s="25">
        <f t="shared" si="1"/>
        <v>3.5796159079488271E-2</v>
      </c>
    </row>
    <row r="25" spans="1:6" x14ac:dyDescent="0.25">
      <c r="A25">
        <v>24</v>
      </c>
      <c r="B25" t="s">
        <v>25</v>
      </c>
      <c r="C25">
        <v>52.347785000000002</v>
      </c>
      <c r="D25">
        <v>113.697998</v>
      </c>
      <c r="E25" s="25">
        <f t="shared" si="0"/>
        <v>0.22554846389977268</v>
      </c>
      <c r="F25" s="25">
        <f t="shared" si="1"/>
        <v>0.13916710144401567</v>
      </c>
    </row>
    <row r="26" spans="1:6" x14ac:dyDescent="0.25">
      <c r="A26">
        <v>25</v>
      </c>
      <c r="B26" t="s">
        <v>26</v>
      </c>
      <c r="C26">
        <v>2.240056</v>
      </c>
      <c r="D26">
        <v>32.354681999999997</v>
      </c>
      <c r="E26" s="25">
        <f t="shared" si="0"/>
        <v>9.6516249894712663E-3</v>
      </c>
      <c r="F26" s="25">
        <f t="shared" si="1"/>
        <v>3.9602344731548111E-2</v>
      </c>
    </row>
    <row r="27" spans="1:6" x14ac:dyDescent="0.25">
      <c r="A27">
        <v>26</v>
      </c>
      <c r="B27" t="s">
        <v>27</v>
      </c>
      <c r="C27">
        <v>36.294293000000003</v>
      </c>
      <c r="D27">
        <v>64.045528000000004</v>
      </c>
      <c r="E27" s="25">
        <f t="shared" si="0"/>
        <v>0.15637953037512994</v>
      </c>
      <c r="F27" s="25">
        <f t="shared" si="1"/>
        <v>7.8392149809106998E-2</v>
      </c>
    </row>
    <row r="28" spans="1:6" x14ac:dyDescent="0.25">
      <c r="A28">
        <v>27</v>
      </c>
      <c r="B28" t="s">
        <v>28</v>
      </c>
      <c r="C28">
        <v>3.6087379999999998</v>
      </c>
      <c r="D28">
        <v>8.7105619999999995</v>
      </c>
      <c r="E28" s="25">
        <f t="shared" si="0"/>
        <v>1.5548801396596585E-2</v>
      </c>
      <c r="F28" s="25">
        <f t="shared" si="1"/>
        <v>1.0661785491494652E-2</v>
      </c>
    </row>
    <row r="29" spans="1:6" x14ac:dyDescent="0.25">
      <c r="A29">
        <v>28</v>
      </c>
      <c r="B29" t="s">
        <v>29</v>
      </c>
      <c r="C29">
        <v>15.761073</v>
      </c>
      <c r="D29">
        <v>32.437415999999999</v>
      </c>
      <c r="E29" s="25">
        <f t="shared" si="0"/>
        <v>6.7909001394465526E-2</v>
      </c>
      <c r="F29" s="25">
        <f t="shared" si="1"/>
        <v>3.9703611694673263E-2</v>
      </c>
    </row>
    <row r="30" spans="1:6" ht="15.75" thickBot="1" x14ac:dyDescent="0.3">
      <c r="A30">
        <v>29</v>
      </c>
      <c r="B30" s="4" t="s">
        <v>30</v>
      </c>
      <c r="C30">
        <v>11.199894</v>
      </c>
      <c r="D30">
        <v>17.172961999999998</v>
      </c>
      <c r="E30" s="25">
        <f t="shared" si="0"/>
        <v>4.8256461807128621E-2</v>
      </c>
      <c r="F30" s="25">
        <f t="shared" si="1"/>
        <v>2.1019819053878383E-2</v>
      </c>
    </row>
  </sheetData>
  <sortState xmlns:xlrd2="http://schemas.microsoft.com/office/spreadsheetml/2017/richdata2" ref="T8:V34">
    <sortCondition ref="T8:T34"/>
  </sortState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9AAEF4D584AA4A9EA65E175D94333C" ma:contentTypeVersion="13" ma:contentTypeDescription="Create a new document." ma:contentTypeScope="" ma:versionID="19e2b9843ca88f851965d64f9b369b1b">
  <xsd:schema xmlns:xsd="http://www.w3.org/2001/XMLSchema" xmlns:xs="http://www.w3.org/2001/XMLSchema" xmlns:p="http://schemas.microsoft.com/office/2006/metadata/properties" xmlns:ns2="d05db09f-8a2c-4258-8a75-47a1515983ff" xmlns:ns3="43ccd64e-69b8-4e29-9547-c09289680468" targetNamespace="http://schemas.microsoft.com/office/2006/metadata/properties" ma:root="true" ma:fieldsID="08418edd0ca35abc814edd24e7526acc" ns2:_="" ns3:_="">
    <xsd:import namespace="d05db09f-8a2c-4258-8a75-47a1515983ff"/>
    <xsd:import namespace="43ccd64e-69b8-4e29-9547-c092896804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5db09f-8a2c-4258-8a75-47a1515983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c74720-cc4a-4f7c-9b5e-ac3ea06067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ccd64e-69b8-4e29-9547-c092896804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602a0a-4e19-467d-ae51-ce86143ed386}" ma:internalName="TaxCatchAll" ma:showField="CatchAllData" ma:web="43ccd64e-69b8-4e29-9547-c092896804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5db09f-8a2c-4258-8a75-47a1515983ff">
      <Terms xmlns="http://schemas.microsoft.com/office/infopath/2007/PartnerControls"/>
    </lcf76f155ced4ddcb4097134ff3c332f>
    <TaxCatchAll xmlns="43ccd64e-69b8-4e29-9547-c09289680468" xsi:nil="true"/>
  </documentManagement>
</p:properties>
</file>

<file path=customXml/itemProps1.xml><?xml version="1.0" encoding="utf-8"?>
<ds:datastoreItem xmlns:ds="http://schemas.openxmlformats.org/officeDocument/2006/customXml" ds:itemID="{2B6D3807-8F2B-4D6E-AB26-DF9064F0C4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5db09f-8a2c-4258-8a75-47a1515983ff"/>
    <ds:schemaRef ds:uri="43ccd64e-69b8-4e29-9547-c092896804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943BF4-FA33-4111-B18F-FFEF53A640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A1F728-59E6-44B1-B183-30105A117FDE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43ccd64e-69b8-4e29-9547-c09289680468"/>
    <ds:schemaRef ds:uri="d05db09f-8a2c-4258-8a75-47a1515983f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Rank Comparison</vt:lpstr>
      <vt:lpstr>Fish Use Scores - Normalized</vt:lpstr>
      <vt:lpstr>Normalized Score Calculator</vt:lpstr>
      <vt:lpstr>Chinook</vt:lpstr>
      <vt:lpstr>Steelhead</vt:lpstr>
      <vt:lpstr>Bull Trout</vt:lpstr>
      <vt:lpstr>Migration Score Calcs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Shore</dc:creator>
  <cp:lastModifiedBy>Alex Landy</cp:lastModifiedBy>
  <dcterms:created xsi:type="dcterms:W3CDTF">2026-02-20T02:13:05Z</dcterms:created>
  <dcterms:modified xsi:type="dcterms:W3CDTF">2026-10-22T23:33:47Z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0x010100FF9AAEF4D584AA4A9EA65E175D94333C</vt:lpwstr>
  </property>
  <property fmtid="{D5CDD505-2E9C-101B-9397-08002B2CF9AE}" pid="3" name="MediaServiceImageTags">
    <vt:lpwstr/>
  </property>
</Properties>
</file>