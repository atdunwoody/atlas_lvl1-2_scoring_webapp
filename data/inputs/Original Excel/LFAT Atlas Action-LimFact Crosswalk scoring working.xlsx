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lichenlandwater.sharepoint.com/Shared Documents/Projects/20240007_Atlas Process (GRMW)/07_GIS/Analysis/WebApp - Scoring/Data In/"/>
    </mc:Choice>
  </mc:AlternateContent>
  <xr:revisionPtr revIDLastSave="626" documentId="8_{E099D109-2D3F-4A8F-A542-A0D50C287DD7}" xr6:coauthVersionLast="47" xr6:coauthVersionMax="47" xr10:uidLastSave="{792BC5E3-8154-4F68-8939-5746F045B7F3}"/>
  <bookViews>
    <workbookView xWindow="-38520" yWindow="-15" windowWidth="38640" windowHeight="21120" tabRatio="727" activeTab="3" xr2:uid="{FBAA00F2-C457-4852-A8D5-3FE9B240EE59}"/>
  </bookViews>
  <sheets>
    <sheet name="Action Type Definitions" sheetId="15" r:id="rId1"/>
    <sheet name="Template" sheetId="4" r:id="rId2"/>
    <sheet name="Score" sheetId="1" r:id="rId3"/>
    <sheet name="Summary" sheetId="14" r:id="rId4"/>
    <sheet name="1 - Protect" sheetId="9" r:id="rId5"/>
    <sheet name="2 - Inst. Complexity" sheetId="10" r:id="rId6"/>
    <sheet name="3 - Floodplain" sheetId="2" r:id="rId7"/>
    <sheet name="4 - Riparian Veg" sheetId="11" r:id="rId8"/>
    <sheet name="5 - Fish Passage" sheetId="3" r:id="rId9"/>
    <sheet name="6 - Instream Flow" sheetId="12" r:id="rId10"/>
    <sheet name="7 - Thermal Refuge" sheetId="6" r:id="rId11"/>
    <sheet name="8 - WQ Imp" sheetId="5" r:id="rId12"/>
    <sheet name="9 - Nutrient Enh" sheetId="7" r:id="rId13"/>
    <sheet name="10 - Upland" sheetId="8" r:id="rId14"/>
    <sheet name="11 - Species Manage." sheetId="13"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7" i="14" l="1"/>
  <c r="E9" i="1"/>
  <c r="E18" i="1"/>
  <c r="M11" i="9" s="1"/>
  <c r="M11" i="13"/>
  <c r="M9" i="13"/>
  <c r="M8" i="13"/>
  <c r="M7" i="13"/>
  <c r="D19" i="13" s="1"/>
  <c r="M11" i="8"/>
  <c r="M9" i="8"/>
  <c r="M7" i="8"/>
  <c r="M13" i="7"/>
  <c r="D11" i="7" s="1"/>
  <c r="M9" i="7"/>
  <c r="M8" i="7"/>
  <c r="M7" i="7"/>
  <c r="M11" i="5"/>
  <c r="M9" i="5"/>
  <c r="M7" i="5"/>
  <c r="D17" i="5" s="1"/>
  <c r="M11" i="6"/>
  <c r="M9" i="6"/>
  <c r="D12" i="6" s="1"/>
  <c r="M7" i="6"/>
  <c r="M11" i="12"/>
  <c r="M9" i="12"/>
  <c r="M11" i="3"/>
  <c r="M9" i="3"/>
  <c r="M11" i="11"/>
  <c r="M9" i="11"/>
  <c r="M7" i="11"/>
  <c r="M11" i="2"/>
  <c r="M9" i="2"/>
  <c r="M11" i="10"/>
  <c r="M9" i="10"/>
  <c r="M7" i="10"/>
  <c r="D9" i="10" s="1"/>
  <c r="M9" i="9"/>
  <c r="M7" i="9"/>
  <c r="E19" i="1"/>
  <c r="M12" i="3" s="1"/>
  <c r="E20" i="1"/>
  <c r="M13" i="6" s="1"/>
  <c r="E16" i="1"/>
  <c r="E15" i="1"/>
  <c r="M8" i="8" s="1"/>
  <c r="E14" i="1"/>
  <c r="M7" i="2" s="1"/>
  <c r="D20" i="4"/>
  <c r="D19" i="4"/>
  <c r="D18" i="4"/>
  <c r="D17" i="4"/>
  <c r="D16" i="4"/>
  <c r="D15" i="4"/>
  <c r="D21" i="4" s="1"/>
  <c r="D14" i="4"/>
  <c r="D13" i="4"/>
  <c r="D12" i="4"/>
  <c r="D11" i="4"/>
  <c r="D10" i="4"/>
  <c r="D9" i="4"/>
  <c r="D8" i="4"/>
  <c r="D7" i="4"/>
  <c r="D6" i="4"/>
  <c r="D5" i="4"/>
  <c r="F8" i="1"/>
  <c r="G8" i="1"/>
  <c r="F9" i="1"/>
  <c r="G9" i="1"/>
  <c r="F10" i="1"/>
  <c r="G10" i="1"/>
  <c r="E10" i="1"/>
  <c r="E8" i="1"/>
  <c r="D9" i="6" l="1"/>
  <c r="D19" i="6"/>
  <c r="D18" i="6"/>
  <c r="D16" i="6"/>
  <c r="D11" i="6"/>
  <c r="D13" i="6"/>
  <c r="D16" i="10"/>
  <c r="D17" i="8"/>
  <c r="D13" i="7"/>
  <c r="D14" i="7"/>
  <c r="D15" i="7"/>
  <c r="D17" i="13"/>
  <c r="M13" i="2"/>
  <c r="D16" i="7"/>
  <c r="M13" i="5"/>
  <c r="D5" i="5" s="1"/>
  <c r="D17" i="7"/>
  <c r="D12" i="11"/>
  <c r="D7" i="7"/>
  <c r="D19" i="7"/>
  <c r="M13" i="11"/>
  <c r="D10" i="7"/>
  <c r="M7" i="3"/>
  <c r="D5" i="3" s="1"/>
  <c r="M11" i="7"/>
  <c r="D18" i="7" s="1"/>
  <c r="M13" i="3"/>
  <c r="D18" i="3" s="1"/>
  <c r="D15" i="8"/>
  <c r="M13" i="9"/>
  <c r="D17" i="9" s="1"/>
  <c r="M7" i="12"/>
  <c r="D10" i="12" s="1"/>
  <c r="M8" i="12"/>
  <c r="M13" i="8"/>
  <c r="D19" i="8" s="1"/>
  <c r="D15" i="3"/>
  <c r="M13" i="12"/>
  <c r="D19" i="12" s="1"/>
  <c r="D12" i="13"/>
  <c r="D8" i="13"/>
  <c r="D5" i="7"/>
  <c r="D9" i="13"/>
  <c r="M13" i="10"/>
  <c r="D6" i="6"/>
  <c r="M13" i="13"/>
  <c r="D13" i="13"/>
  <c r="D14" i="6"/>
  <c r="D12" i="7"/>
  <c r="D14" i="13"/>
  <c r="M8" i="2"/>
  <c r="D11" i="2" s="1"/>
  <c r="M12" i="7"/>
  <c r="D6" i="7" s="1"/>
  <c r="M12" i="12"/>
  <c r="M12" i="8"/>
  <c r="D10" i="8" s="1"/>
  <c r="M12" i="10"/>
  <c r="D11" i="10" s="1"/>
  <c r="M12" i="6"/>
  <c r="M12" i="2"/>
  <c r="D13" i="2" s="1"/>
  <c r="M12" i="13"/>
  <c r="M12" i="9"/>
  <c r="D12" i="9" s="1"/>
  <c r="D16" i="8"/>
  <c r="M12" i="11"/>
  <c r="D9" i="11" s="1"/>
  <c r="M12" i="5"/>
  <c r="D7" i="5" s="1"/>
  <c r="M8" i="6"/>
  <c r="D10" i="6" s="1"/>
  <c r="M8" i="11"/>
  <c r="D19" i="11" s="1"/>
  <c r="M8" i="5"/>
  <c r="M8" i="9"/>
  <c r="D17" i="6"/>
  <c r="M8" i="3"/>
  <c r="D19" i="3" s="1"/>
  <c r="M8" i="10"/>
  <c r="D8" i="6"/>
  <c r="D15" i="11"/>
  <c r="D10" i="13"/>
  <c r="D11" i="13"/>
  <c r="D5" i="8"/>
  <c r="D6" i="8"/>
  <c r="D7" i="8"/>
  <c r="D8" i="8"/>
  <c r="D9" i="8"/>
  <c r="D8" i="7"/>
  <c r="D9" i="7"/>
  <c r="D5" i="6"/>
  <c r="D15" i="6"/>
  <c r="D7" i="6"/>
  <c r="D17" i="12"/>
  <c r="D6" i="3"/>
  <c r="D14" i="3"/>
  <c r="D10" i="3"/>
  <c r="D18" i="11"/>
  <c r="D6" i="11"/>
  <c r="D7" i="11"/>
  <c r="D8" i="11"/>
  <c r="D10" i="11"/>
  <c r="D5" i="11"/>
  <c r="D17" i="2"/>
  <c r="D18" i="2"/>
  <c r="D5" i="2"/>
  <c r="D12" i="2"/>
  <c r="D8" i="2"/>
  <c r="D7" i="2"/>
  <c r="D8" i="10"/>
  <c r="D10" i="10"/>
  <c r="D15" i="9"/>
  <c r="D11" i="11" l="1"/>
  <c r="D16" i="5"/>
  <c r="D18" i="8"/>
  <c r="D18" i="9"/>
  <c r="D15" i="5"/>
  <c r="D13" i="5"/>
  <c r="D19" i="5"/>
  <c r="D18" i="5"/>
  <c r="D11" i="12"/>
  <c r="D13" i="12"/>
  <c r="D9" i="5"/>
  <c r="D8" i="5"/>
  <c r="D6" i="2"/>
  <c r="D13" i="3"/>
  <c r="D18" i="12"/>
  <c r="D13" i="8"/>
  <c r="D7" i="13"/>
  <c r="D6" i="13"/>
  <c r="D5" i="13"/>
  <c r="D20" i="13" s="1"/>
  <c r="K17" i="14" s="1"/>
  <c r="D18" i="13"/>
  <c r="D16" i="13"/>
  <c r="D15" i="13"/>
  <c r="D10" i="9"/>
  <c r="D11" i="9"/>
  <c r="D9" i="9"/>
  <c r="D10" i="5"/>
  <c r="D20" i="5"/>
  <c r="D12" i="3"/>
  <c r="D14" i="8"/>
  <c r="D16" i="11"/>
  <c r="D9" i="2"/>
  <c r="D10" i="2"/>
  <c r="E12" i="14" s="1"/>
  <c r="D12" i="14" s="1"/>
  <c r="D15" i="12"/>
  <c r="D12" i="8"/>
  <c r="D12" i="5"/>
  <c r="D11" i="5"/>
  <c r="D12" i="12"/>
  <c r="D11" i="8"/>
  <c r="D18" i="10"/>
  <c r="E20" i="14" s="1"/>
  <c r="D20" i="14" s="1"/>
  <c r="D5" i="10"/>
  <c r="D9" i="12"/>
  <c r="D14" i="12"/>
  <c r="D14" i="5"/>
  <c r="D16" i="12"/>
  <c r="D19" i="2"/>
  <c r="D6" i="12"/>
  <c r="D16" i="2"/>
  <c r="D5" i="12"/>
  <c r="D6" i="5"/>
  <c r="D14" i="2"/>
  <c r="D20" i="7"/>
  <c r="K15" i="14" s="1"/>
  <c r="D7" i="12"/>
  <c r="D15" i="2"/>
  <c r="D8" i="12"/>
  <c r="D13" i="9"/>
  <c r="D17" i="11"/>
  <c r="D14" i="11"/>
  <c r="D13" i="11"/>
  <c r="D20" i="6"/>
  <c r="K13" i="14" s="1"/>
  <c r="D20" i="8"/>
  <c r="K16" i="14" s="1"/>
  <c r="D16" i="9"/>
  <c r="D14" i="9"/>
  <c r="D19" i="10"/>
  <c r="D17" i="10"/>
  <c r="D15" i="10"/>
  <c r="D14" i="10"/>
  <c r="D7" i="10"/>
  <c r="D6" i="10"/>
  <c r="D13" i="10"/>
  <c r="D17" i="3"/>
  <c r="D12" i="10"/>
  <c r="D11" i="3"/>
  <c r="D16" i="3"/>
  <c r="D9" i="3"/>
  <c r="E11" i="14" s="1"/>
  <c r="D11" i="14" s="1"/>
  <c r="D8" i="3"/>
  <c r="D19" i="9"/>
  <c r="D5" i="9"/>
  <c r="D8" i="9"/>
  <c r="D7" i="9"/>
  <c r="D6" i="9"/>
  <c r="D7" i="3"/>
  <c r="E13" i="14" l="1"/>
  <c r="D13" i="14" s="1"/>
  <c r="E14" i="14"/>
  <c r="D14" i="14" s="1"/>
  <c r="D20" i="12"/>
  <c r="K12" i="14" s="1"/>
  <c r="E15" i="14"/>
  <c r="D15" i="14" s="1"/>
  <c r="D20" i="2"/>
  <c r="K9" i="14" s="1"/>
  <c r="D21" i="5"/>
  <c r="K14" i="14" s="1"/>
  <c r="D20" i="11"/>
  <c r="K10" i="14" s="1"/>
  <c r="E17" i="14"/>
  <c r="D17" i="14" s="1"/>
  <c r="E16" i="14"/>
  <c r="D16" i="14" s="1"/>
  <c r="E10" i="14"/>
  <c r="D10" i="14" s="1"/>
  <c r="E21" i="14"/>
  <c r="D21" i="14" s="1"/>
  <c r="E18" i="14"/>
  <c r="D18" i="14" s="1"/>
  <c r="E8" i="14"/>
  <c r="D8" i="14" s="1"/>
  <c r="D20" i="3"/>
  <c r="K11" i="14" s="1"/>
  <c r="E19" i="14"/>
  <c r="D19" i="14" s="1"/>
  <c r="E9" i="14"/>
  <c r="D9" i="14" s="1"/>
  <c r="D20" i="9"/>
  <c r="E7" i="14"/>
  <c r="D20" i="10"/>
  <c r="K8" i="14" s="1"/>
  <c r="M7" i="14" l="1"/>
  <c r="L7" i="14"/>
  <c r="L16" i="14"/>
  <c r="K18" i="14"/>
  <c r="L10" i="14"/>
  <c r="M10" i="14"/>
  <c r="M13" i="14"/>
  <c r="L13" i="14"/>
  <c r="M16" i="14"/>
  <c r="L15" i="14"/>
  <c r="M15" i="14"/>
  <c r="L17" i="14"/>
  <c r="M14" i="14"/>
  <c r="M17" i="14"/>
  <c r="L14" i="14"/>
  <c r="M11" i="14"/>
  <c r="L11" i="14"/>
  <c r="L12" i="14"/>
  <c r="M12" i="14"/>
  <c r="L9" i="14"/>
  <c r="M9" i="14"/>
  <c r="L8" i="14"/>
  <c r="M8" i="14"/>
  <c r="E22" i="14"/>
  <c r="D7" i="14"/>
  <c r="F9" i="14" s="1"/>
  <c r="D22" i="14" l="1"/>
  <c r="F7" i="14"/>
  <c r="F20" i="14"/>
  <c r="F18" i="14"/>
  <c r="F13" i="14"/>
  <c r="F15" i="14"/>
  <c r="F11" i="14"/>
  <c r="F12" i="14"/>
  <c r="F16" i="14"/>
  <c r="F10" i="14"/>
  <c r="F8" i="14"/>
  <c r="F14" i="14"/>
  <c r="F19" i="14"/>
  <c r="F21" i="14"/>
  <c r="F17" i="14"/>
  <c r="L18" i="14"/>
</calcChain>
</file>

<file path=xl/sharedStrings.xml><?xml version="1.0" encoding="utf-8"?>
<sst xmlns="http://schemas.openxmlformats.org/spreadsheetml/2006/main" count="920" uniqueCount="137">
  <si>
    <t>Direct</t>
  </si>
  <si>
    <t>Indirect</t>
  </si>
  <si>
    <t>Negligible</t>
  </si>
  <si>
    <t>Common Benefit</t>
  </si>
  <si>
    <t>Rare Benefit</t>
  </si>
  <si>
    <t>TAC rates directness of benefit, and frequency of benefit, for each action type relative to a limiting factor</t>
  </si>
  <si>
    <t>Numerical rating value</t>
  </si>
  <si>
    <t>D</t>
  </si>
  <si>
    <t>N</t>
  </si>
  <si>
    <t>I</t>
  </si>
  <si>
    <t>Predation</t>
  </si>
  <si>
    <t>Altered Primary Productivity</t>
  </si>
  <si>
    <t>Limiting Factor Category</t>
  </si>
  <si>
    <t>Directness of Benefit</t>
  </si>
  <si>
    <t>Frequency of Benefit</t>
  </si>
  <si>
    <t>C</t>
  </si>
  <si>
    <t>R</t>
  </si>
  <si>
    <t>Anthropogenic Barriers</t>
  </si>
  <si>
    <t>Riparian Condition</t>
  </si>
  <si>
    <t>Floodplain Condition</t>
  </si>
  <si>
    <t>Side Channel and Wetland Habitat</t>
  </si>
  <si>
    <t>Channel and Habitat Structure</t>
  </si>
  <si>
    <t>Decreased Water Quantity</t>
  </si>
  <si>
    <t>Altered Flow Timing</t>
  </si>
  <si>
    <t>Decreased Sediment Quantity</t>
  </si>
  <si>
    <t>Increased Sediment Quantity (fines, embeddedness)</t>
  </si>
  <si>
    <t>Summer Water Temperature</t>
  </si>
  <si>
    <t>Winter Water Temperature</t>
  </si>
  <si>
    <t>Water Quality (DO, Toxics, Turbidity, Excess nutrients)</t>
  </si>
  <si>
    <t>Non-Native Species Interactions &amp; Competition</t>
  </si>
  <si>
    <t>Score (0-1)</t>
  </si>
  <si>
    <t>Action: Fish Passage – Barrier Removal and Replacement</t>
  </si>
  <si>
    <t>Action: Floodplain Restoration</t>
  </si>
  <si>
    <t>Rating</t>
  </si>
  <si>
    <t>Calculated</t>
  </si>
  <si>
    <t>Total</t>
  </si>
  <si>
    <t>Uncertainty</t>
  </si>
  <si>
    <t>Action: ######</t>
  </si>
  <si>
    <t>Action: Protect Land</t>
  </si>
  <si>
    <t>Action: Instream Complexity Improvement</t>
  </si>
  <si>
    <t>Action: Riparian Vegetation Restoration</t>
  </si>
  <si>
    <t>Action-Limiting Factor Rating Sheet</t>
  </si>
  <si>
    <t>Action: Thermal Refuge Enhancement</t>
  </si>
  <si>
    <t>Action: Water Quality Improvement</t>
  </si>
  <si>
    <t>Action: Nutrient Enhancement</t>
  </si>
  <si>
    <t>Action: Upland Treatments</t>
  </si>
  <si>
    <t>Action: Species Management</t>
  </si>
  <si>
    <t>Limiting Factor</t>
  </si>
  <si>
    <t>Action Type</t>
  </si>
  <si>
    <t>Instream Complexity Improvement</t>
  </si>
  <si>
    <t>Floodplain – Reconnect and Restore</t>
  </si>
  <si>
    <t>Riparian Vegetation Restoration</t>
  </si>
  <si>
    <t>Fish Passage – Barrier Removal and Replacement</t>
  </si>
  <si>
    <t>Instream Flow Restoration</t>
  </si>
  <si>
    <t>Thermal Refuge Enhancement (reconnect, expand)</t>
  </si>
  <si>
    <t>Water Quality Improvement (not including temperature)</t>
  </si>
  <si>
    <t>Nutrient Enhancement</t>
  </si>
  <si>
    <t>Upland Treatments</t>
  </si>
  <si>
    <t>Species Management (non-native or unnatural)</t>
  </si>
  <si>
    <t>Average</t>
  </si>
  <si>
    <r>
      <t>Protect Land (Easement and Acquisition)</t>
    </r>
    <r>
      <rPr>
        <sz val="12"/>
        <color rgb="FFFFFFFF"/>
        <rFont val="Aptos"/>
        <family val="2"/>
      </rPr>
      <t>)</t>
    </r>
  </si>
  <si>
    <t>Rank</t>
  </si>
  <si>
    <t>Max Possible per Limiting Factor</t>
  </si>
  <si>
    <t>Max Possible per Action Type</t>
  </si>
  <si>
    <t>Action-Limiting Factor Rating Sheet (2 action types only)</t>
  </si>
  <si>
    <t>Context-Dependant Benefit</t>
  </si>
  <si>
    <t>Definition</t>
  </si>
  <si>
    <t>Action directly affects (benefits) a given limiting factor</t>
  </si>
  <si>
    <t>Action indirectly affects (benefits) a given limiting factor</t>
  </si>
  <si>
    <t>Action negligibly affects a given limiting factor</t>
  </si>
  <si>
    <t>Action commonly affects (benefits) a given limiting factor</t>
  </si>
  <si>
    <t>Action provides benefits to a limiting factor in certain contexts</t>
  </si>
  <si>
    <t>Action rarely benefits a given limiting factor</t>
  </si>
  <si>
    <t>CD</t>
  </si>
  <si>
    <t>Qualitative Rating</t>
  </si>
  <si>
    <t>Code</t>
  </si>
  <si>
    <t>Numerical Value (from Above)</t>
  </si>
  <si>
    <t>Direct Benefit</t>
  </si>
  <si>
    <t>Indirect Benefit</t>
  </si>
  <si>
    <t>Table shows the relative likelihood of the limiting factors being addressed by the action types available</t>
  </si>
  <si>
    <t>Table shows the relative benefit of the action types based on their ability to address the collection of limiting factors considered.</t>
  </si>
  <si>
    <t xml:space="preserve">The following summary tables provide a relative sense of action type scoring based solely on their benefit to the collection of limiting factors considered. </t>
  </si>
  <si>
    <t>These scores would be most relevant if comparing two BSRs with identical fish use and limiting factor ratings.</t>
  </si>
  <si>
    <t>#</t>
  </si>
  <si>
    <t>New Activity Type</t>
  </si>
  <si>
    <r>
      <t xml:space="preserve">Original Activity Types Included </t>
    </r>
    <r>
      <rPr>
        <b/>
        <sz val="10"/>
        <color theme="1"/>
        <rFont val="Aptos"/>
        <family val="2"/>
      </rPr>
      <t>(*former types included in multiple categories)</t>
    </r>
  </si>
  <si>
    <r>
      <t>Protect Land (Easement and Acquisition)</t>
    </r>
    <r>
      <rPr>
        <sz val="11"/>
        <color rgb="FFFFFFFF"/>
        <rFont val="Aptos"/>
        <family val="2"/>
      </rPr>
      <t>)</t>
    </r>
  </si>
  <si>
    <t xml:space="preserve">Protect land and water with positive habitat value through conservation easements or title acquisition. Does not include water acquisition or leases. </t>
  </si>
  <si>
    <t xml:space="preserve">#1 Protect Land and Water </t>
  </si>
  <si>
    <t xml:space="preserve">Improve the complexity of the river below the ordinary high-water mark or bankfull stage. Action types may include placing large wood or boulders, gravel augmentation, riffle construction, pool construction, or channel reconstruction including channel remeandering and realignment, and developing new channels. </t>
  </si>
  <si>
    <t>#2 Channel Reconstruction</t>
  </si>
  <si>
    <t>#3 Pool Development</t>
  </si>
  <si>
    <t>#4 Riffle Construction</t>
  </si>
  <si>
    <t>#5 Meander/Oxbow Reconnection</t>
  </si>
  <si>
    <t>#6 Spawning Gravel Cleaning/Placement</t>
  </si>
  <si>
    <t>#11 Perennial Side Channel</t>
  </si>
  <si>
    <t>#12 Secondary Side Channel</t>
  </si>
  <si>
    <t>#14 Alcoves</t>
  </si>
  <si>
    <t>#16 Beaver Restoration and Management*</t>
  </si>
  <si>
    <t>#25 Rock Weirs</t>
  </si>
  <si>
    <t>#26 Boulder Placement</t>
  </si>
  <si>
    <t>#27 LWD Placement*</t>
  </si>
  <si>
    <t>#28 Modification or Removal of Bank Armoring*</t>
  </si>
  <si>
    <t>#29 Restore Banklines with LWD or Bioengineering*</t>
  </si>
  <si>
    <t xml:space="preserve">Actions that add complexity or improve connectivity within the current floodplain, or expand the floodplain area. Actions that improve the current floodplain may include vegetation or topography modifications, wetland enhancement, and beaver restoration. Actions that expand the floodplain may include levee modification and infrastructure modification/removal or instream modification intended to encourage floodplain reconnection. Actions may also add complexity to the floodplain through wood and other habitat feature additions. </t>
  </si>
  <si>
    <t>#7 Levee Modification/ Removal</t>
  </si>
  <si>
    <t>#8 Remove-Relocate Floodplain Infrastructure</t>
  </si>
  <si>
    <t>#9 Restore Topography and Vegetation</t>
  </si>
  <si>
    <t>#10 Floodplain Construction</t>
  </si>
  <si>
    <t xml:space="preserve">#13 Floodplain Pond/ Wetland Restoration </t>
  </si>
  <si>
    <t>#15 Hyporheic Off-Channel Habitat*</t>
  </si>
  <si>
    <t>#35 Road Decommissioning or Abandonment*</t>
  </si>
  <si>
    <t xml:space="preserve">Restoration of riparian vegetation through protection actions (e.g., riparian fencing, off-site stock water, non-native plant removal) or planting and establishment of new riparian or aquatic plants.  </t>
  </si>
  <si>
    <t>#17 Riparian Fencing</t>
  </si>
  <si>
    <t>#18 Riparian Buffer Planting</t>
  </si>
  <si>
    <t># 19 Thinning or Removal of Understory in Riparian Zone</t>
  </si>
  <si>
    <t>#20 Remove Non-Native Plants</t>
  </si>
  <si>
    <t xml:space="preserve">Removal or replacement of in-stream structures that impede fish passage and improve access for fish. Common examples include irrigation diversion structures and culvert removal or replacements. Actions in this category may address partial or full fish passage barriers </t>
  </si>
  <si>
    <t>#21 Dam Removal or Breaching</t>
  </si>
  <si>
    <t>#22 Barrier or culvert Replacement or Removal</t>
  </si>
  <si>
    <t>#23 Structure Passage at Diversions</t>
  </si>
  <si>
    <t xml:space="preserve">Actions that increase flow amounts including actions such as acquiring/leasing instream flow rights or irrigation system upgrades that reduce irrigation withdrawal needs. </t>
  </si>
  <si>
    <t>#30 Acquire Instream Flow (Lease-Purchase)</t>
  </si>
  <si>
    <t xml:space="preserve">Actions intended to reconnect or improve thermal refuge including spring reconnection and increase hyporheic connection. This work may also habitat enhancement like wood placement at thermal refuge features. </t>
  </si>
  <si>
    <t>#31 Improve Thermal Refuge (spring reconnect, other)</t>
  </si>
  <si>
    <t>Actions that reduce pollutant inputs or improve water quality conditions, excluding temperature. Common sources include fine sediment from roads, agricultural runoff (e.g., nutrients, E. coli from livestock), and point source discharges. Specific action types may include road grading and drainage improvements, road decommissioning or abandonment, grazing management, and reduction or mitigation of point source impacts.</t>
  </si>
  <si>
    <t>#33 Reduce or Mitigate Point Sources</t>
  </si>
  <si>
    <t>#36 Road Grading or Drainage Improvements</t>
  </si>
  <si>
    <t xml:space="preserve"> </t>
  </si>
  <si>
    <t>Addition of organic and inorganic nutrients, primarily through salmon carcass additions.</t>
  </si>
  <si>
    <t>#24 Addition of Organic and Inorganic Nutrients</t>
  </si>
  <si>
    <t>Actions that modify upland vegetation to improve watershed hydrology such as forest thinning. These treatments are intended to increase snow retention, improve soil moisture, and/or extend late-season flows.   Forest management to create fire resilience and forest health, with potential hydrologic and sedimentation benefits. May include invasive and weed treatment in uplands.</t>
  </si>
  <si>
    <t>#34 Upland Vegetation Treatment-Management</t>
  </si>
  <si>
    <t>Actions that reduce predation pressure on native salmonids from non-native species or native species present at elevated levels. Targets may include piscivorous birds (e.g., cormorants), and predatory fish (e.g., bass, catfish and native pikeminnow). This category includes management of brook trout in habitats occupied by or targeted for recovery of native bull trout, where brook trout competition and hybridization pose a threat to bull trout persistence.</t>
  </si>
  <si>
    <t>NA</t>
  </si>
  <si>
    <r>
      <t> </t>
    </r>
    <r>
      <rPr>
        <sz val="10"/>
        <color theme="1"/>
        <rFont val="Aptos"/>
        <family val="2"/>
      </rPr>
      <t>Clarified goals toward hydrologic benefits. We could also consider adding sediment delivery benefit.</t>
    </r>
  </si>
  <si>
    <t>Note, upstream treatments focused on non-point source pollution will follow under Water Quality Improvement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</si>
</sst>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scheme val="minor"/>
    </font>
    <font>
      <sz val="11"/>
      <color theme="1"/>
      <name val="Calibri"/>
      <family val="2"/>
      <scheme val="minor"/>
    </font>
    <font>
      <i/>
      <sz val="11"/>
      <color theme="1"/>
      <name val="Calibri"/>
      <family val="2"/>
      <scheme val="minor"/>
    </font>
    <font>
      <b/>
      <sz val="11"/>
      <color theme="1"/>
      <name val="Calibri"/>
      <family val="2"/>
      <scheme val="minor"/>
    </font>
    <font>
      <b/>
      <sz val="14"/>
      <color theme="1"/>
      <name val="Calibri"/>
      <family val="2"/>
      <scheme val="minor"/>
    </font>
    <font>
      <sz val="11"/>
      <color rgb="FF000000"/>
      <name val="Aptos"/>
      <family val="2"/>
    </font>
    <font>
      <sz val="12"/>
      <color theme="1"/>
      <name val="Aptos"/>
      <family val="2"/>
    </font>
    <font>
      <b/>
      <sz val="11"/>
      <color rgb="FF000000"/>
      <name val="Aptos"/>
      <family val="2"/>
    </font>
    <font>
      <i/>
      <sz val="11"/>
      <color rgb="FF000000"/>
      <name val="Aptos"/>
      <family val="2"/>
    </font>
    <font>
      <sz val="18"/>
      <color theme="1"/>
      <name val="Calibri"/>
      <family val="2"/>
      <scheme val="minor"/>
    </font>
    <font>
      <sz val="12"/>
      <color theme="1"/>
      <name val="Calibri"/>
      <family val="2"/>
      <scheme val="minor"/>
    </font>
    <font>
      <sz val="12"/>
      <color rgb="FFFFFFFF"/>
      <name val="Aptos"/>
      <family val="2"/>
    </font>
    <font>
      <sz val="12"/>
      <color rgb="FF000000"/>
      <name val="Aptos"/>
      <family val="2"/>
    </font>
    <font>
      <b/>
      <sz val="12"/>
      <color theme="1"/>
      <name val="Aptos"/>
      <family val="2"/>
    </font>
    <font>
      <b/>
      <sz val="11"/>
      <color theme="1"/>
      <name val="Aptos"/>
      <family val="2"/>
    </font>
    <font>
      <b/>
      <sz val="10"/>
      <color theme="1"/>
      <name val="Aptos"/>
      <family val="2"/>
    </font>
    <font>
      <sz val="11"/>
      <color theme="1"/>
      <name val="Aptos"/>
      <family val="2"/>
    </font>
    <font>
      <sz val="11"/>
      <color rgb="FFFFFFFF"/>
      <name val="Aptos"/>
      <family val="2"/>
    </font>
    <font>
      <sz val="9"/>
      <color theme="1"/>
      <name val="Aptos"/>
      <family val="2"/>
    </font>
    <font>
      <sz val="10"/>
      <color theme="1"/>
      <name val="Aptos"/>
      <family val="2"/>
    </font>
    <font>
      <sz val="8"/>
      <color theme="1"/>
      <name val="Aptos"/>
      <family val="2"/>
    </font>
  </fonts>
  <fills count="3">
    <fill>
      <patternFill patternType="none"/>
    </fill>
    <fill>
      <patternFill patternType="gray125"/>
    </fill>
    <fill>
      <patternFill patternType="solid">
        <fgColor theme="7" tint="0.39997558519241921"/>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0" fontId="0" fillId="0" borderId="0" xfId="0" applyAlignment="1">
      <alignment wrapText="1"/>
    </xf>
    <xf numFmtId="9" fontId="0" fillId="0" borderId="0" xfId="1" applyFont="1"/>
    <xf numFmtId="0" fontId="4" fillId="0" borderId="0" xfId="0" applyFont="1"/>
    <xf numFmtId="0" fontId="3" fillId="0" borderId="0" xfId="0" applyFont="1" applyAlignment="1">
      <alignment wrapText="1"/>
    </xf>
    <xf numFmtId="0" fontId="5" fillId="0" borderId="0" xfId="0" applyFont="1" applyAlignment="1">
      <alignment wrapText="1"/>
    </xf>
    <xf numFmtId="0" fontId="6" fillId="0" borderId="0" xfId="0" applyFont="1" applyAlignment="1">
      <alignment vertical="center"/>
    </xf>
    <xf numFmtId="0" fontId="0" fillId="0" borderId="0" xfId="0" applyAlignment="1">
      <alignment horizontal="center"/>
    </xf>
    <xf numFmtId="0" fontId="7" fillId="0" borderId="0" xfId="0" applyFont="1" applyAlignment="1">
      <alignment horizontal="centerContinuous" wrapText="1"/>
    </xf>
    <xf numFmtId="0" fontId="7" fillId="0" borderId="0" xfId="0" applyFont="1" applyAlignment="1">
      <alignment horizontal="centerContinuous"/>
    </xf>
    <xf numFmtId="0" fontId="3" fillId="0" borderId="0" xfId="0" applyFont="1" applyAlignment="1">
      <alignment horizontal="right"/>
    </xf>
    <xf numFmtId="0" fontId="3" fillId="0" borderId="0" xfId="0" applyFont="1"/>
    <xf numFmtId="0" fontId="8" fillId="0" borderId="0" xfId="0" applyFont="1" applyAlignment="1">
      <alignment wrapText="1"/>
    </xf>
    <xf numFmtId="0" fontId="7" fillId="2" borderId="0" xfId="0" applyFont="1" applyFill="1" applyAlignment="1">
      <alignment horizontal="centerContinuous" wrapText="1"/>
    </xf>
    <xf numFmtId="0" fontId="7" fillId="2" borderId="0" xfId="0" applyFont="1" applyFill="1" applyAlignment="1">
      <alignment horizontal="centerContinuous"/>
    </xf>
    <xf numFmtId="0" fontId="2" fillId="2" borderId="0" xfId="0" applyFont="1" applyFill="1"/>
    <xf numFmtId="0" fontId="9" fillId="0" borderId="0" xfId="0" applyFont="1"/>
    <xf numFmtId="2" fontId="10" fillId="0" borderId="0" xfId="0" applyNumberFormat="1" applyFont="1"/>
    <xf numFmtId="164" fontId="10" fillId="0" borderId="0" xfId="0" applyNumberFormat="1" applyFont="1"/>
    <xf numFmtId="0" fontId="10" fillId="0" borderId="0" xfId="0" applyFont="1"/>
    <xf numFmtId="0" fontId="6" fillId="0" borderId="0" xfId="0" applyFont="1" applyAlignment="1">
      <alignment vertical="center" wrapText="1"/>
    </xf>
    <xf numFmtId="0" fontId="12" fillId="0" borderId="0" xfId="0" applyFont="1" applyAlignment="1">
      <alignment vertical="center" wrapText="1"/>
    </xf>
    <xf numFmtId="0" fontId="0" fillId="2" borderId="0" xfId="0" applyFill="1"/>
    <xf numFmtId="0" fontId="14" fillId="0" borderId="1" xfId="0" applyFont="1" applyBorder="1" applyAlignment="1">
      <alignment vertical="center" wrapText="1"/>
    </xf>
    <xf numFmtId="0" fontId="14" fillId="0" borderId="2" xfId="0" applyFont="1" applyBorder="1" applyAlignment="1">
      <alignment vertical="center" wrapText="1"/>
    </xf>
    <xf numFmtId="0" fontId="13" fillId="0" borderId="2" xfId="0" applyFont="1" applyBorder="1" applyAlignment="1">
      <alignment vertical="center" wrapText="1"/>
    </xf>
    <xf numFmtId="0" fontId="16" fillId="0" borderId="3" xfId="0" applyFont="1" applyBorder="1" applyAlignment="1">
      <alignment vertical="center" wrapText="1"/>
    </xf>
    <xf numFmtId="0" fontId="16" fillId="0" borderId="4" xfId="0" applyFont="1" applyBorder="1" applyAlignment="1">
      <alignment vertical="center" wrapText="1"/>
    </xf>
    <xf numFmtId="0" fontId="18" fillId="0" borderId="4" xfId="0" applyFont="1" applyBorder="1" applyAlignment="1">
      <alignment vertical="center" wrapText="1"/>
    </xf>
    <xf numFmtId="0" fontId="18" fillId="0" borderId="6" xfId="0" applyFont="1" applyBorder="1" applyAlignment="1">
      <alignment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20" fillId="0" borderId="0" xfId="0" applyFont="1" applyAlignment="1">
      <alignment vertical="center"/>
    </xf>
    <xf numFmtId="0" fontId="19" fillId="0" borderId="0" xfId="0" applyFont="1" applyAlignment="1">
      <alignment vertical="center"/>
    </xf>
    <xf numFmtId="0" fontId="5" fillId="0" borderId="7" xfId="0" applyFont="1" applyBorder="1" applyAlignment="1">
      <alignment vertical="center" wrapText="1"/>
    </xf>
    <xf numFmtId="0" fontId="5" fillId="0" borderId="5" xfId="0" applyFont="1" applyBorder="1" applyAlignment="1">
      <alignment vertical="center" wrapText="1"/>
    </xf>
    <xf numFmtId="0" fontId="5" fillId="0" borderId="3" xfId="0" applyFont="1" applyBorder="1" applyAlignment="1">
      <alignment vertical="center" wrapText="1"/>
    </xf>
    <xf numFmtId="0" fontId="16" fillId="0" borderId="7" xfId="0" applyFont="1" applyBorder="1" applyAlignment="1">
      <alignment vertical="center" wrapText="1"/>
    </xf>
    <xf numFmtId="0" fontId="16" fillId="0" borderId="5" xfId="0" applyFont="1" applyBorder="1" applyAlignment="1">
      <alignment vertical="center" wrapText="1"/>
    </xf>
    <xf numFmtId="0" fontId="16" fillId="0" borderId="3" xfId="0" applyFont="1" applyBorder="1" applyAlignment="1">
      <alignment vertical="center" wrapText="1"/>
    </xf>
    <xf numFmtId="0" fontId="18" fillId="0" borderId="7" xfId="0" applyFont="1" applyBorder="1" applyAlignment="1">
      <alignment vertical="center" wrapText="1"/>
    </xf>
    <xf numFmtId="0" fontId="18" fillId="0" borderId="3" xfId="0" applyFont="1" applyBorder="1" applyAlignment="1">
      <alignment vertical="center" wrapText="1"/>
    </xf>
  </cellXfs>
  <cellStyles count="2">
    <cellStyle name="Normal" xfId="0" builtinId="0"/>
    <cellStyle name="Percent" xfId="1" builtinId="5"/>
  </cellStyles>
  <dxfs count="102">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
      <fill>
        <patternFill patternType="solid">
          <fgColor theme="0" tint="-0.24994659260841701"/>
          <bgColor theme="0" tint="-0.14996795556505021"/>
        </patternFill>
      </fill>
    </dxf>
    <dxf>
      <fill>
        <patternFill patternType="solid">
          <fgColor rgb="FFFFD580"/>
          <bgColor theme="9" tint="0.59996337778862885"/>
        </patternFill>
      </fill>
    </dxf>
    <dxf>
      <fill>
        <patternFill patternType="solid">
          <fgColor rgb="FFFFC7CE"/>
          <bgColor theme="9" tint="0.39994506668294322"/>
        </patternFill>
      </fill>
    </dxf>
    <dxf>
      <fill>
        <patternFill patternType="solid">
          <fgColor theme="0" tint="-0.24994659260841701"/>
          <bgColor theme="0" tint="-0.14996795556505021"/>
        </patternFill>
      </fill>
    </dxf>
    <dxf>
      <fill>
        <patternFill patternType="solid">
          <fgColor rgb="FFFFD580"/>
          <bgColor theme="8" tint="0.59996337778862885"/>
        </patternFill>
      </fill>
    </dxf>
    <dxf>
      <fill>
        <patternFill patternType="solid">
          <fgColor rgb="FFFFC7CE"/>
          <bgColor theme="8"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B6C7-337C-468D-9804-D38AC5C303DE}">
  <dimension ref="C3:F51"/>
  <sheetViews>
    <sheetView zoomScale="85" zoomScaleNormal="85" workbookViewId="0">
      <selection activeCell="E6" sqref="E6:E19"/>
    </sheetView>
  </sheetViews>
  <sheetFormatPr defaultRowHeight="15" x14ac:dyDescent="0.25"/>
  <cols>
    <col min="3" max="3" width="2.7109375" customWidth="1"/>
    <col min="4" max="4" width="15.28515625" customWidth="1"/>
    <col min="5" max="5" width="63.42578125" customWidth="1"/>
    <col min="6" max="6" width="45.85546875" customWidth="1"/>
  </cols>
  <sheetData>
    <row r="3" spans="3:6" ht="15.75" thickBot="1" x14ac:dyDescent="0.3"/>
    <row r="4" spans="3:6" ht="53.25" customHeight="1" thickBot="1" x14ac:dyDescent="0.3">
      <c r="C4" s="23" t="s">
        <v>83</v>
      </c>
      <c r="D4" s="24" t="s">
        <v>84</v>
      </c>
      <c r="E4" s="25" t="s">
        <v>66</v>
      </c>
      <c r="F4" s="25" t="s">
        <v>85</v>
      </c>
    </row>
    <row r="5" spans="3:6" ht="45.75" thickBot="1" x14ac:dyDescent="0.3">
      <c r="C5" s="26">
        <v>1</v>
      </c>
      <c r="D5" s="27" t="s">
        <v>86</v>
      </c>
      <c r="E5" s="27" t="s">
        <v>87</v>
      </c>
      <c r="F5" s="28" t="s">
        <v>88</v>
      </c>
    </row>
    <row r="6" spans="3:6" x14ac:dyDescent="0.25">
      <c r="C6" s="34">
        <v>2</v>
      </c>
      <c r="D6" s="34" t="s">
        <v>49</v>
      </c>
      <c r="E6" s="37" t="s">
        <v>89</v>
      </c>
      <c r="F6" s="29" t="s">
        <v>90</v>
      </c>
    </row>
    <row r="7" spans="3:6" x14ac:dyDescent="0.25">
      <c r="C7" s="35"/>
      <c r="D7" s="35"/>
      <c r="E7" s="38"/>
      <c r="F7" s="29" t="s">
        <v>91</v>
      </c>
    </row>
    <row r="8" spans="3:6" x14ac:dyDescent="0.25">
      <c r="C8" s="35"/>
      <c r="D8" s="35"/>
      <c r="E8" s="38"/>
      <c r="F8" s="29" t="s">
        <v>92</v>
      </c>
    </row>
    <row r="9" spans="3:6" x14ac:dyDescent="0.25">
      <c r="C9" s="35"/>
      <c r="D9" s="35"/>
      <c r="E9" s="38"/>
      <c r="F9" s="29" t="s">
        <v>93</v>
      </c>
    </row>
    <row r="10" spans="3:6" x14ac:dyDescent="0.25">
      <c r="C10" s="35"/>
      <c r="D10" s="35"/>
      <c r="E10" s="38"/>
      <c r="F10" s="29" t="s">
        <v>94</v>
      </c>
    </row>
    <row r="11" spans="3:6" x14ac:dyDescent="0.25">
      <c r="C11" s="35"/>
      <c r="D11" s="35"/>
      <c r="E11" s="38"/>
      <c r="F11" s="29" t="s">
        <v>95</v>
      </c>
    </row>
    <row r="12" spans="3:6" x14ac:dyDescent="0.25">
      <c r="C12" s="35"/>
      <c r="D12" s="35"/>
      <c r="E12" s="38"/>
      <c r="F12" s="29" t="s">
        <v>96</v>
      </c>
    </row>
    <row r="13" spans="3:6" x14ac:dyDescent="0.25">
      <c r="C13" s="35"/>
      <c r="D13" s="35"/>
      <c r="E13" s="38"/>
      <c r="F13" s="29" t="s">
        <v>97</v>
      </c>
    </row>
    <row r="14" spans="3:6" x14ac:dyDescent="0.25">
      <c r="C14" s="35"/>
      <c r="D14" s="35"/>
      <c r="E14" s="38"/>
      <c r="F14" s="29" t="s">
        <v>98</v>
      </c>
    </row>
    <row r="15" spans="3:6" x14ac:dyDescent="0.25">
      <c r="C15" s="35"/>
      <c r="D15" s="35"/>
      <c r="E15" s="38"/>
      <c r="F15" s="29" t="s">
        <v>99</v>
      </c>
    </row>
    <row r="16" spans="3:6" x14ac:dyDescent="0.25">
      <c r="C16" s="35"/>
      <c r="D16" s="35"/>
      <c r="E16" s="38"/>
      <c r="F16" s="29" t="s">
        <v>100</v>
      </c>
    </row>
    <row r="17" spans="3:6" x14ac:dyDescent="0.25">
      <c r="C17" s="35"/>
      <c r="D17" s="35"/>
      <c r="E17" s="38"/>
      <c r="F17" s="29" t="s">
        <v>101</v>
      </c>
    </row>
    <row r="18" spans="3:6" x14ac:dyDescent="0.25">
      <c r="C18" s="35"/>
      <c r="D18" s="35"/>
      <c r="E18" s="38"/>
      <c r="F18" s="29" t="s">
        <v>102</v>
      </c>
    </row>
    <row r="19" spans="3:6" ht="15.75" thickBot="1" x14ac:dyDescent="0.3">
      <c r="C19" s="36"/>
      <c r="D19" s="36"/>
      <c r="E19" s="39"/>
      <c r="F19" s="28" t="s">
        <v>103</v>
      </c>
    </row>
    <row r="20" spans="3:6" x14ac:dyDescent="0.25">
      <c r="C20" s="34">
        <v>3</v>
      </c>
      <c r="D20" s="34" t="s">
        <v>50</v>
      </c>
      <c r="E20" s="37" t="s">
        <v>104</v>
      </c>
      <c r="F20" s="29" t="s">
        <v>105</v>
      </c>
    </row>
    <row r="21" spans="3:6" x14ac:dyDescent="0.25">
      <c r="C21" s="35"/>
      <c r="D21" s="35"/>
      <c r="E21" s="38"/>
      <c r="F21" s="29" t="s">
        <v>106</v>
      </c>
    </row>
    <row r="22" spans="3:6" x14ac:dyDescent="0.25">
      <c r="C22" s="35"/>
      <c r="D22" s="35"/>
      <c r="E22" s="38"/>
      <c r="F22" s="29" t="s">
        <v>107</v>
      </c>
    </row>
    <row r="23" spans="3:6" x14ac:dyDescent="0.25">
      <c r="C23" s="35"/>
      <c r="D23" s="35"/>
      <c r="E23" s="38"/>
      <c r="F23" s="29" t="s">
        <v>108</v>
      </c>
    </row>
    <row r="24" spans="3:6" x14ac:dyDescent="0.25">
      <c r="C24" s="35"/>
      <c r="D24" s="35"/>
      <c r="E24" s="38"/>
      <c r="F24" s="29" t="s">
        <v>109</v>
      </c>
    </row>
    <row r="25" spans="3:6" x14ac:dyDescent="0.25">
      <c r="C25" s="35"/>
      <c r="D25" s="35"/>
      <c r="E25" s="38"/>
      <c r="F25" s="29" t="s">
        <v>110</v>
      </c>
    </row>
    <row r="26" spans="3:6" x14ac:dyDescent="0.25">
      <c r="C26" s="35"/>
      <c r="D26" s="35"/>
      <c r="E26" s="38"/>
      <c r="F26" s="29" t="s">
        <v>98</v>
      </c>
    </row>
    <row r="27" spans="3:6" x14ac:dyDescent="0.25">
      <c r="C27" s="35"/>
      <c r="D27" s="35"/>
      <c r="E27" s="38"/>
      <c r="F27" s="29" t="s">
        <v>101</v>
      </c>
    </row>
    <row r="28" spans="3:6" x14ac:dyDescent="0.25">
      <c r="C28" s="35"/>
      <c r="D28" s="35"/>
      <c r="E28" s="38"/>
      <c r="F28" s="29" t="s">
        <v>102</v>
      </c>
    </row>
    <row r="29" spans="3:6" x14ac:dyDescent="0.25">
      <c r="C29" s="35"/>
      <c r="D29" s="35"/>
      <c r="E29" s="38"/>
      <c r="F29" s="29" t="s">
        <v>103</v>
      </c>
    </row>
    <row r="30" spans="3:6" ht="15.75" thickBot="1" x14ac:dyDescent="0.3">
      <c r="C30" s="36"/>
      <c r="D30" s="36"/>
      <c r="E30" s="39"/>
      <c r="F30" s="28" t="s">
        <v>111</v>
      </c>
    </row>
    <row r="31" spans="3:6" x14ac:dyDescent="0.25">
      <c r="C31" s="34">
        <v>4</v>
      </c>
      <c r="D31" s="34" t="s">
        <v>51</v>
      </c>
      <c r="E31" s="37" t="s">
        <v>112</v>
      </c>
      <c r="F31" s="29" t="s">
        <v>113</v>
      </c>
    </row>
    <row r="32" spans="3:6" x14ac:dyDescent="0.25">
      <c r="C32" s="35"/>
      <c r="D32" s="35"/>
      <c r="E32" s="38"/>
      <c r="F32" s="29" t="s">
        <v>114</v>
      </c>
    </row>
    <row r="33" spans="3:6" x14ac:dyDescent="0.25">
      <c r="C33" s="35"/>
      <c r="D33" s="35"/>
      <c r="E33" s="38"/>
      <c r="F33" s="29" t="s">
        <v>115</v>
      </c>
    </row>
    <row r="34" spans="3:6" ht="15.75" thickBot="1" x14ac:dyDescent="0.3">
      <c r="C34" s="36"/>
      <c r="D34" s="36"/>
      <c r="E34" s="39"/>
      <c r="F34" s="28" t="s">
        <v>116</v>
      </c>
    </row>
    <row r="35" spans="3:6" x14ac:dyDescent="0.25">
      <c r="C35" s="34">
        <v>5</v>
      </c>
      <c r="D35" s="34" t="s">
        <v>52</v>
      </c>
      <c r="E35" s="37" t="s">
        <v>117</v>
      </c>
      <c r="F35" s="29" t="s">
        <v>118</v>
      </c>
    </row>
    <row r="36" spans="3:6" x14ac:dyDescent="0.25">
      <c r="C36" s="35"/>
      <c r="D36" s="35"/>
      <c r="E36" s="38"/>
      <c r="F36" s="29" t="s">
        <v>119</v>
      </c>
    </row>
    <row r="37" spans="3:6" ht="15.75" thickBot="1" x14ac:dyDescent="0.3">
      <c r="C37" s="36"/>
      <c r="D37" s="36"/>
      <c r="E37" s="39"/>
      <c r="F37" s="28" t="s">
        <v>120</v>
      </c>
    </row>
    <row r="38" spans="3:6" x14ac:dyDescent="0.25">
      <c r="C38" s="34">
        <v>6</v>
      </c>
      <c r="D38" s="34" t="s">
        <v>53</v>
      </c>
      <c r="E38" s="37" t="s">
        <v>121</v>
      </c>
      <c r="F38" s="40" t="s">
        <v>122</v>
      </c>
    </row>
    <row r="39" spans="3:6" ht="15.75" thickBot="1" x14ac:dyDescent="0.3">
      <c r="C39" s="36"/>
      <c r="D39" s="36"/>
      <c r="E39" s="39"/>
      <c r="F39" s="41"/>
    </row>
    <row r="40" spans="3:6" x14ac:dyDescent="0.25">
      <c r="C40" s="34">
        <v>7</v>
      </c>
      <c r="D40" s="34" t="s">
        <v>54</v>
      </c>
      <c r="E40" s="37" t="s">
        <v>123</v>
      </c>
      <c r="F40" s="29" t="s">
        <v>110</v>
      </c>
    </row>
    <row r="41" spans="3:6" ht="15.75" thickBot="1" x14ac:dyDescent="0.3">
      <c r="C41" s="36"/>
      <c r="D41" s="36"/>
      <c r="E41" s="39"/>
      <c r="F41" s="28" t="s">
        <v>124</v>
      </c>
    </row>
    <row r="42" spans="3:6" x14ac:dyDescent="0.25">
      <c r="C42" s="34">
        <v>8</v>
      </c>
      <c r="D42" s="34" t="s">
        <v>55</v>
      </c>
      <c r="E42" s="37" t="s">
        <v>125</v>
      </c>
      <c r="F42" s="29" t="s">
        <v>126</v>
      </c>
    </row>
    <row r="43" spans="3:6" x14ac:dyDescent="0.25">
      <c r="C43" s="35"/>
      <c r="D43" s="35"/>
      <c r="E43" s="38"/>
      <c r="F43" s="29" t="s">
        <v>111</v>
      </c>
    </row>
    <row r="44" spans="3:6" x14ac:dyDescent="0.25">
      <c r="C44" s="35"/>
      <c r="D44" s="35"/>
      <c r="E44" s="38"/>
      <c r="F44" s="29" t="s">
        <v>127</v>
      </c>
    </row>
    <row r="45" spans="3:6" ht="15.75" thickBot="1" x14ac:dyDescent="0.3">
      <c r="C45" s="36"/>
      <c r="D45" s="36"/>
      <c r="E45" s="39"/>
      <c r="F45" s="28" t="s">
        <v>128</v>
      </c>
    </row>
    <row r="46" spans="3:6" ht="30.75" thickBot="1" x14ac:dyDescent="0.3">
      <c r="C46" s="30">
        <v>9</v>
      </c>
      <c r="D46" s="31" t="s">
        <v>56</v>
      </c>
      <c r="E46" s="27" t="s">
        <v>129</v>
      </c>
      <c r="F46" s="28" t="s">
        <v>130</v>
      </c>
    </row>
    <row r="47" spans="3:6" ht="90.75" thickBot="1" x14ac:dyDescent="0.3">
      <c r="C47" s="30">
        <v>10</v>
      </c>
      <c r="D47" s="31" t="s">
        <v>57</v>
      </c>
      <c r="E47" s="27" t="s">
        <v>131</v>
      </c>
      <c r="F47" s="28" t="s">
        <v>132</v>
      </c>
    </row>
    <row r="48" spans="3:6" ht="120.75" thickBot="1" x14ac:dyDescent="0.3">
      <c r="C48" s="30">
        <v>11</v>
      </c>
      <c r="D48" s="31" t="s">
        <v>58</v>
      </c>
      <c r="E48" s="27" t="s">
        <v>133</v>
      </c>
      <c r="F48" s="28" t="s">
        <v>134</v>
      </c>
    </row>
    <row r="49" spans="3:3" x14ac:dyDescent="0.25">
      <c r="C49" s="32" t="s">
        <v>135</v>
      </c>
    </row>
    <row r="50" spans="3:3" x14ac:dyDescent="0.25">
      <c r="C50" s="33"/>
    </row>
    <row r="51" spans="3:3" x14ac:dyDescent="0.25">
      <c r="C51" s="33" t="s">
        <v>136</v>
      </c>
    </row>
  </sheetData>
  <mergeCells count="22">
    <mergeCell ref="C42:C45"/>
    <mergeCell ref="D42:D45"/>
    <mergeCell ref="E42:E45"/>
    <mergeCell ref="C38:C39"/>
    <mergeCell ref="D38:D39"/>
    <mergeCell ref="E38:E39"/>
    <mergeCell ref="F38:F39"/>
    <mergeCell ref="C40:C41"/>
    <mergeCell ref="D40:D41"/>
    <mergeCell ref="E40:E41"/>
    <mergeCell ref="C31:C34"/>
    <mergeCell ref="D31:D34"/>
    <mergeCell ref="E31:E34"/>
    <mergeCell ref="C35:C37"/>
    <mergeCell ref="D35:D37"/>
    <mergeCell ref="E35:E37"/>
    <mergeCell ref="C6:C19"/>
    <mergeCell ref="D6:D19"/>
    <mergeCell ref="E6:E19"/>
    <mergeCell ref="C20:C30"/>
    <mergeCell ref="D20:D30"/>
    <mergeCell ref="E20:E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BE64-2414-4C8D-8009-914B345F03A3}">
  <dimension ref="A1:M21"/>
  <sheetViews>
    <sheetView zoomScale="115" zoomScaleNormal="115" workbookViewId="0">
      <selection activeCell="D10" sqref="D10"/>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41</v>
      </c>
    </row>
    <row r="2" spans="1:13" s="1" customFormat="1" x14ac:dyDescent="0.25">
      <c r="B2" s="13" t="s">
        <v>37</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c r="C5" s="7"/>
      <c r="D5" t="e">
        <f t="shared" ref="D5:D20" si="0">VLOOKUP(B5,$L$7:$M$9,2,FALSE)*VLOOKUP(C5,$L$11:$M$13,2,FALSE)</f>
        <v>#N/A</v>
      </c>
    </row>
    <row r="6" spans="1:13" ht="15.75" x14ac:dyDescent="0.25">
      <c r="A6" s="6" t="s">
        <v>18</v>
      </c>
      <c r="B6" s="7"/>
      <c r="C6" s="7"/>
      <c r="D6" t="e">
        <f t="shared" si="0"/>
        <v>#N/A</v>
      </c>
    </row>
    <row r="7" spans="1:13" ht="15.75" x14ac:dyDescent="0.25">
      <c r="A7" s="6" t="s">
        <v>19</v>
      </c>
      <c r="B7" s="7"/>
      <c r="C7" s="7"/>
      <c r="D7" t="e">
        <f t="shared" si="0"/>
        <v>#N/A</v>
      </c>
      <c r="K7" t="s">
        <v>0</v>
      </c>
      <c r="L7" t="s">
        <v>7</v>
      </c>
      <c r="M7">
        <v>1</v>
      </c>
    </row>
    <row r="8" spans="1:13" ht="15.75" x14ac:dyDescent="0.25">
      <c r="A8" s="6" t="s">
        <v>20</v>
      </c>
      <c r="B8" s="7"/>
      <c r="C8" s="7"/>
      <c r="D8" t="e">
        <f t="shared" si="0"/>
        <v>#N/A</v>
      </c>
      <c r="K8" t="s">
        <v>1</v>
      </c>
      <c r="L8" t="s">
        <v>9</v>
      </c>
      <c r="M8">
        <v>0.5</v>
      </c>
    </row>
    <row r="9" spans="1:13" ht="15.75" x14ac:dyDescent="0.25">
      <c r="A9" s="6" t="s">
        <v>21</v>
      </c>
      <c r="B9" s="7"/>
      <c r="C9" s="7"/>
      <c r="D9" t="e">
        <f t="shared" si="0"/>
        <v>#N/A</v>
      </c>
      <c r="K9" t="s">
        <v>2</v>
      </c>
      <c r="L9" t="s">
        <v>8</v>
      </c>
      <c r="M9">
        <v>0.1</v>
      </c>
    </row>
    <row r="10" spans="1:13" ht="15.75" x14ac:dyDescent="0.25">
      <c r="A10" s="6" t="s">
        <v>22</v>
      </c>
      <c r="B10" s="7"/>
      <c r="C10" s="7"/>
      <c r="D10" t="e">
        <f t="shared" si="0"/>
        <v>#N/A</v>
      </c>
    </row>
    <row r="11" spans="1:13" ht="15.75" x14ac:dyDescent="0.25">
      <c r="A11" s="6" t="s">
        <v>23</v>
      </c>
      <c r="B11" s="7"/>
      <c r="C11" s="7"/>
      <c r="D11" t="e">
        <f t="shared" si="0"/>
        <v>#N/A</v>
      </c>
      <c r="K11" t="s">
        <v>3</v>
      </c>
      <c r="L11" t="s">
        <v>15</v>
      </c>
      <c r="M11">
        <v>1</v>
      </c>
    </row>
    <row r="12" spans="1:13" ht="15.75" hidden="1" x14ac:dyDescent="0.25">
      <c r="A12" s="6" t="s">
        <v>22</v>
      </c>
      <c r="B12" s="7"/>
      <c r="C12" s="7"/>
      <c r="D12" t="e">
        <f t="shared" si="0"/>
        <v>#N/A</v>
      </c>
      <c r="K12" t="s">
        <v>65</v>
      </c>
      <c r="L12" t="s">
        <v>73</v>
      </c>
      <c r="M12">
        <v>0.5</v>
      </c>
    </row>
    <row r="13" spans="1:13" ht="15.75" x14ac:dyDescent="0.25">
      <c r="A13" s="6" t="s">
        <v>24</v>
      </c>
      <c r="B13" s="7"/>
      <c r="C13" s="7"/>
      <c r="D13" t="e">
        <f t="shared" si="0"/>
        <v>#N/A</v>
      </c>
      <c r="K13" t="s">
        <v>4</v>
      </c>
      <c r="L13" t="s">
        <v>16</v>
      </c>
      <c r="M13">
        <v>0.1</v>
      </c>
    </row>
    <row r="14" spans="1:13" ht="15.75" x14ac:dyDescent="0.25">
      <c r="A14" s="6" t="s">
        <v>25</v>
      </c>
      <c r="B14" s="7"/>
      <c r="C14" s="7"/>
      <c r="D14" t="e">
        <f t="shared" si="0"/>
        <v>#N/A</v>
      </c>
    </row>
    <row r="15" spans="1:13" ht="15.75" x14ac:dyDescent="0.25">
      <c r="A15" s="6" t="s">
        <v>26</v>
      </c>
      <c r="B15" s="7"/>
      <c r="C15" s="7"/>
      <c r="D15" t="e">
        <f t="shared" si="0"/>
        <v>#N/A</v>
      </c>
    </row>
    <row r="16" spans="1:13" ht="15.75" x14ac:dyDescent="0.25">
      <c r="A16" s="6" t="s">
        <v>27</v>
      </c>
      <c r="B16" s="7"/>
      <c r="C16" s="7"/>
      <c r="D16" t="e">
        <f t="shared" si="0"/>
        <v>#N/A</v>
      </c>
    </row>
    <row r="17" spans="1:4" ht="15.75" x14ac:dyDescent="0.25">
      <c r="A17" s="6" t="s">
        <v>28</v>
      </c>
      <c r="B17" s="7"/>
      <c r="C17" s="7"/>
      <c r="D17" t="e">
        <f t="shared" si="0"/>
        <v>#N/A</v>
      </c>
    </row>
    <row r="18" spans="1:4" ht="15.75" x14ac:dyDescent="0.25">
      <c r="A18" s="6" t="s">
        <v>10</v>
      </c>
      <c r="B18" s="7"/>
      <c r="C18" s="7"/>
      <c r="D18" t="e">
        <f t="shared" si="0"/>
        <v>#N/A</v>
      </c>
    </row>
    <row r="19" spans="1:4" ht="15.75" x14ac:dyDescent="0.25">
      <c r="A19" s="6" t="s">
        <v>11</v>
      </c>
      <c r="B19" s="7"/>
      <c r="C19" s="7"/>
      <c r="D19" t="e">
        <f t="shared" si="0"/>
        <v>#N/A</v>
      </c>
    </row>
    <row r="20" spans="1:4" ht="15.75" x14ac:dyDescent="0.25">
      <c r="A20" s="6" t="s">
        <v>29</v>
      </c>
      <c r="B20" s="7"/>
      <c r="C20" s="7"/>
      <c r="D20" t="e">
        <f t="shared" si="0"/>
        <v>#N/A</v>
      </c>
    </row>
    <row r="21" spans="1:4" x14ac:dyDescent="0.25">
      <c r="C21" s="10" t="s">
        <v>35</v>
      </c>
      <c r="D21" s="11" t="e">
        <f>SUM(D5:D20)</f>
        <v>#N/A</v>
      </c>
    </row>
  </sheetData>
  <conditionalFormatting sqref="B5:B20">
    <cfRule type="expression" dxfId="101" priority="1">
      <formula>B5="D"</formula>
    </cfRule>
    <cfRule type="expression" dxfId="100" priority="2">
      <formula>B5="I"</formula>
    </cfRule>
    <cfRule type="expression" dxfId="99" priority="3">
      <formula>B5="N"</formula>
    </cfRule>
  </conditionalFormatting>
  <conditionalFormatting sqref="C5:C21 E7:E9">
    <cfRule type="expression" dxfId="98" priority="5">
      <formula>C5="C"</formula>
    </cfRule>
    <cfRule type="expression" dxfId="97" priority="6">
      <formula>C5="S"</formula>
    </cfRule>
    <cfRule type="expression" dxfId="96" priority="7">
      <formula>C5="R"</formula>
    </cfRule>
  </conditionalFormatting>
  <conditionalFormatting sqref="D5:D20">
    <cfRule type="colorScale" priority="4">
      <colorScale>
        <cfvo type="min"/>
        <cfvo type="percentile" val="50"/>
        <cfvo type="max"/>
        <color rgb="FFF8696B"/>
        <color rgb="FFFFEB84"/>
        <color rgb="FF63BE7B"/>
      </colorScale>
    </cfRule>
  </conditionalFormatting>
  <dataValidations count="3">
    <dataValidation type="list" allowBlank="1" sqref="C5:C20" xr:uid="{F48F8343-DD1C-47EF-8256-C3AAB8A90339}">
      <formula1>$L$11:$L$13</formula1>
    </dataValidation>
    <dataValidation type="list" allowBlank="1" sqref="B5:B20" xr:uid="{F6140C94-8A4A-48B5-9EA1-935B233D9A1F}">
      <formula1>$L$7:$L$9</formula1>
    </dataValidation>
    <dataValidation allowBlank="1" sqref="D5:D20" xr:uid="{EB8C62AE-0A5A-431A-AF70-51767941F5BF}"/>
  </dataValidations>
  <pageMargins left="0.75" right="0.75" top="1" bottom="1" header="0.5" footer="0.5"/>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4D1D-E081-4FCA-8076-E4923F102AA2}">
  <dimension ref="C3:G20"/>
  <sheetViews>
    <sheetView topLeftCell="A4" zoomScale="145" zoomScaleNormal="145" workbookViewId="0">
      <selection activeCell="C18" sqref="C18"/>
    </sheetView>
  </sheetViews>
  <sheetFormatPr defaultRowHeight="15" x14ac:dyDescent="0.25"/>
  <cols>
    <col min="3" max="3" width="27.7109375" customWidth="1"/>
    <col min="4" max="4" width="13.28515625" customWidth="1"/>
    <col min="5" max="5" width="11.140625" customWidth="1"/>
  </cols>
  <sheetData>
    <row r="3" spans="3:7" x14ac:dyDescent="0.25">
      <c r="C3" t="s">
        <v>5</v>
      </c>
    </row>
    <row r="6" spans="3:7" x14ac:dyDescent="0.25">
      <c r="E6" s="11" t="s">
        <v>0</v>
      </c>
      <c r="F6" s="11" t="s">
        <v>1</v>
      </c>
      <c r="G6" s="11" t="s">
        <v>2</v>
      </c>
    </row>
    <row r="7" spans="3:7" ht="30" x14ac:dyDescent="0.25">
      <c r="D7" s="1" t="s">
        <v>6</v>
      </c>
      <c r="E7" s="15">
        <v>1</v>
      </c>
      <c r="F7" s="15">
        <v>0.5</v>
      </c>
      <c r="G7" s="15">
        <v>0.1</v>
      </c>
    </row>
    <row r="8" spans="3:7" x14ac:dyDescent="0.25">
      <c r="C8" s="11" t="s">
        <v>3</v>
      </c>
      <c r="D8" s="15">
        <v>1</v>
      </c>
      <c r="E8" s="2">
        <f>$D8*E$7</f>
        <v>1</v>
      </c>
      <c r="F8" s="2">
        <f t="shared" ref="F8:G8" si="0">$D8*F$7</f>
        <v>0.5</v>
      </c>
      <c r="G8" s="2">
        <f t="shared" si="0"/>
        <v>0.1</v>
      </c>
    </row>
    <row r="9" spans="3:7" x14ac:dyDescent="0.25">
      <c r="C9" s="11" t="s">
        <v>65</v>
      </c>
      <c r="D9" s="15">
        <v>0.5</v>
      </c>
      <c r="E9" s="2">
        <f>$D9*E$7</f>
        <v>0.5</v>
      </c>
      <c r="F9" s="2">
        <f t="shared" ref="E9:G10" si="1">$D9*F$7</f>
        <v>0.25</v>
      </c>
      <c r="G9" s="2">
        <f t="shared" si="1"/>
        <v>0.05</v>
      </c>
    </row>
    <row r="10" spans="3:7" x14ac:dyDescent="0.25">
      <c r="C10" s="11" t="s">
        <v>4</v>
      </c>
      <c r="D10" s="15">
        <v>0.1</v>
      </c>
      <c r="E10" s="2">
        <f t="shared" si="1"/>
        <v>0.1</v>
      </c>
      <c r="F10" s="2">
        <f t="shared" si="1"/>
        <v>0.05</v>
      </c>
      <c r="G10" s="2">
        <f t="shared" si="1"/>
        <v>1.0000000000000002E-2</v>
      </c>
    </row>
    <row r="13" spans="3:7" ht="45" customHeight="1" x14ac:dyDescent="0.25">
      <c r="C13" s="11" t="s">
        <v>74</v>
      </c>
      <c r="D13" s="4" t="s">
        <v>75</v>
      </c>
      <c r="E13" s="4" t="s">
        <v>76</v>
      </c>
      <c r="F13" s="4" t="s">
        <v>66</v>
      </c>
      <c r="G13" s="4"/>
    </row>
    <row r="14" spans="3:7" x14ac:dyDescent="0.25">
      <c r="C14" t="s">
        <v>77</v>
      </c>
      <c r="D14" t="s">
        <v>7</v>
      </c>
      <c r="E14">
        <f>E7</f>
        <v>1</v>
      </c>
      <c r="F14" t="s">
        <v>67</v>
      </c>
    </row>
    <row r="15" spans="3:7" x14ac:dyDescent="0.25">
      <c r="C15" t="s">
        <v>78</v>
      </c>
      <c r="D15" t="s">
        <v>9</v>
      </c>
      <c r="E15">
        <f>F7</f>
        <v>0.5</v>
      </c>
      <c r="F15" t="s">
        <v>68</v>
      </c>
    </row>
    <row r="16" spans="3:7" x14ac:dyDescent="0.25">
      <c r="C16" t="s">
        <v>2</v>
      </c>
      <c r="D16" t="s">
        <v>8</v>
      </c>
      <c r="E16">
        <f>G7</f>
        <v>0.1</v>
      </c>
      <c r="F16" t="s">
        <v>69</v>
      </c>
    </row>
    <row r="18" spans="3:6" x14ac:dyDescent="0.25">
      <c r="C18" t="s">
        <v>3</v>
      </c>
      <c r="D18" t="s">
        <v>15</v>
      </c>
      <c r="E18">
        <f>D8</f>
        <v>1</v>
      </c>
      <c r="F18" t="s">
        <v>70</v>
      </c>
    </row>
    <row r="19" spans="3:6" x14ac:dyDescent="0.25">
      <c r="C19" t="s">
        <v>65</v>
      </c>
      <c r="D19" t="s">
        <v>73</v>
      </c>
      <c r="E19">
        <f t="shared" ref="E19:E20" si="2">D9</f>
        <v>0.5</v>
      </c>
      <c r="F19" t="s">
        <v>71</v>
      </c>
    </row>
    <row r="20" spans="3:6" x14ac:dyDescent="0.25">
      <c r="C20" t="s">
        <v>4</v>
      </c>
      <c r="D20" t="s">
        <v>16</v>
      </c>
      <c r="E20">
        <f t="shared" si="2"/>
        <v>0.1</v>
      </c>
      <c r="F20" t="s">
        <v>72</v>
      </c>
    </row>
  </sheetData>
  <conditionalFormatting sqref="E8:G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C7BB-C40C-4BE3-AF41-04B5CED2EDA3}">
  <dimension ref="C2:M25"/>
  <sheetViews>
    <sheetView tabSelected="1" zoomScaleNormal="100" workbookViewId="0">
      <selection activeCell="K8" sqref="K8"/>
    </sheetView>
  </sheetViews>
  <sheetFormatPr defaultRowHeight="15" x14ac:dyDescent="0.25"/>
  <cols>
    <col min="3" max="3" width="55.85546875" bestFit="1" customWidth="1"/>
    <col min="4" max="4" width="11.85546875" customWidth="1"/>
    <col min="5" max="5" width="14.5703125" hidden="1" customWidth="1"/>
    <col min="6" max="6" width="13.85546875" customWidth="1"/>
    <col min="10" max="10" width="66" customWidth="1"/>
    <col min="11" max="11" width="11.7109375" customWidth="1"/>
    <col min="12" max="12" width="1.7109375" hidden="1" customWidth="1"/>
    <col min="13" max="13" width="13.28515625" customWidth="1"/>
  </cols>
  <sheetData>
    <row r="2" spans="3:13" x14ac:dyDescent="0.25">
      <c r="C2" t="s">
        <v>81</v>
      </c>
    </row>
    <row r="3" spans="3:13" x14ac:dyDescent="0.25">
      <c r="C3" t="s">
        <v>82</v>
      </c>
    </row>
    <row r="5" spans="3:13" x14ac:dyDescent="0.25">
      <c r="C5" t="s">
        <v>79</v>
      </c>
      <c r="I5" t="s">
        <v>80</v>
      </c>
    </row>
    <row r="6" spans="3:13" ht="23.25" x14ac:dyDescent="0.35">
      <c r="C6" s="16" t="s">
        <v>47</v>
      </c>
      <c r="D6" s="16" t="s">
        <v>35</v>
      </c>
      <c r="E6" s="16" t="s">
        <v>59</v>
      </c>
      <c r="F6" s="16" t="s">
        <v>61</v>
      </c>
      <c r="I6" s="16" t="s">
        <v>48</v>
      </c>
      <c r="J6" s="16"/>
      <c r="K6" s="16" t="s">
        <v>35</v>
      </c>
      <c r="L6" s="16" t="s">
        <v>59</v>
      </c>
      <c r="M6" s="16" t="s">
        <v>61</v>
      </c>
    </row>
    <row r="7" spans="3:13" ht="15.75" x14ac:dyDescent="0.25">
      <c r="C7" s="6" t="s">
        <v>17</v>
      </c>
      <c r="D7" s="18">
        <f t="shared" ref="D7:D21" si="0">E7*11</f>
        <v>1.58</v>
      </c>
      <c r="E7" s="17">
        <f>AVERAGE('1 - Protect'!D5,'2 - Inst. Complexity'!D5,'3 - Floodplain'!D5,'4 - Riparian Veg'!D5,'5 - Fish Passage'!D5,'6 - Instream Flow'!D5,'7 - Thermal Refuge'!D5,'8 - WQ Imp'!D5,'9 - Nutrient Enh'!D5,'10 - Upland'!D5,'11 - Species Manage.'!D5)</f>
        <v>0.14363636363636365</v>
      </c>
      <c r="F7" s="19">
        <f>RANK(D7,$D$7:$D$21,0)</f>
        <v>14</v>
      </c>
      <c r="G7" s="19"/>
      <c r="H7" s="19"/>
      <c r="I7" s="20">
        <v>1</v>
      </c>
      <c r="J7" s="20" t="s">
        <v>60</v>
      </c>
      <c r="K7" s="18">
        <f>'1 - Protect'!D20</f>
        <v>3.1999999999999993</v>
      </c>
      <c r="L7" s="18">
        <f>K7/COUNT($K$7:$K$17)</f>
        <v>0.29090909090909084</v>
      </c>
      <c r="M7" s="19">
        <f>RANK(K7,$K$7:$K$17,0)</f>
        <v>5</v>
      </c>
    </row>
    <row r="8" spans="3:13" ht="15.75" x14ac:dyDescent="0.25">
      <c r="C8" s="6" t="s">
        <v>18</v>
      </c>
      <c r="D8" s="18">
        <f t="shared" si="0"/>
        <v>3.0799999999999992</v>
      </c>
      <c r="E8" s="17">
        <f>AVERAGE('1 - Protect'!D6,'2 - Inst. Complexity'!D6,'3 - Floodplain'!D6,'4 - Riparian Veg'!D6,'5 - Fish Passage'!D6,'6 - Instream Flow'!D6,'7 - Thermal Refuge'!D6,'8 - WQ Imp'!D6,'9 - Nutrient Enh'!D6,'10 - Upland'!D6,'11 - Species Manage.'!D6)</f>
        <v>0.27999999999999992</v>
      </c>
      <c r="F8" s="19">
        <f t="shared" ref="F8:F21" si="1">RANK(D8,$D$7:$D$21,0)</f>
        <v>4</v>
      </c>
      <c r="G8" s="19"/>
      <c r="H8" s="19"/>
      <c r="I8" s="21">
        <v>2</v>
      </c>
      <c r="J8" s="21" t="s">
        <v>49</v>
      </c>
      <c r="K8" s="18">
        <f>'2 - Inst. Complexity'!D20</f>
        <v>4.589999999999999</v>
      </c>
      <c r="L8" s="18">
        <f t="shared" ref="L8:L17" si="2">K8/COUNT($K$7:$K$17)</f>
        <v>0.41727272727272718</v>
      </c>
      <c r="M8" s="19">
        <f t="shared" ref="M8:M17" si="3">RANK(K8,$K$7:$K$17,0)</f>
        <v>3</v>
      </c>
    </row>
    <row r="9" spans="3:13" ht="15.75" x14ac:dyDescent="0.25">
      <c r="C9" s="6" t="s">
        <v>19</v>
      </c>
      <c r="D9" s="18">
        <f t="shared" si="0"/>
        <v>3.6199999999999997</v>
      </c>
      <c r="E9" s="17">
        <f>AVERAGE('1 - Protect'!D7,'2 - Inst. Complexity'!D7,'3 - Floodplain'!D7,'4 - Riparian Veg'!D7,'5 - Fish Passage'!D7,'6 - Instream Flow'!D7,'7 - Thermal Refuge'!D7,'8 - WQ Imp'!D7,'9 - Nutrient Enh'!D7,'10 - Upland'!D7,'11 - Species Manage.'!D7)</f>
        <v>0.32909090909090905</v>
      </c>
      <c r="F9" s="19">
        <f t="shared" si="1"/>
        <v>2</v>
      </c>
      <c r="G9" s="19"/>
      <c r="H9" s="19"/>
      <c r="I9" s="21">
        <v>3</v>
      </c>
      <c r="J9" s="21" t="s">
        <v>50</v>
      </c>
      <c r="K9" s="18">
        <f>'3 - Floodplain'!D20</f>
        <v>6.8199999999999994</v>
      </c>
      <c r="L9" s="18">
        <f t="shared" si="2"/>
        <v>0.62</v>
      </c>
      <c r="M9" s="19">
        <f t="shared" si="3"/>
        <v>1</v>
      </c>
    </row>
    <row r="10" spans="3:13" ht="15.75" x14ac:dyDescent="0.25">
      <c r="C10" s="6" t="s">
        <v>20</v>
      </c>
      <c r="D10" s="18">
        <f t="shared" si="0"/>
        <v>3.5899999999999985</v>
      </c>
      <c r="E10" s="17">
        <f>AVERAGE('1 - Protect'!D8,'2 - Inst. Complexity'!D8,'3 - Floodplain'!D8,'4 - Riparian Veg'!D8,'5 - Fish Passage'!D8,'6 - Instream Flow'!D8,'7 - Thermal Refuge'!D8,'8 - WQ Imp'!D8,'9 - Nutrient Enh'!D8,'10 - Upland'!D8,'11 - Species Manage.'!D8)</f>
        <v>0.32636363636363624</v>
      </c>
      <c r="F10" s="19">
        <f t="shared" si="1"/>
        <v>3</v>
      </c>
      <c r="G10" s="19"/>
      <c r="H10" s="19"/>
      <c r="I10" s="21">
        <v>4</v>
      </c>
      <c r="J10" s="21" t="s">
        <v>51</v>
      </c>
      <c r="K10" s="18">
        <f>'4 - Riparian Veg'!D20</f>
        <v>5.6799999999999988</v>
      </c>
      <c r="L10" s="18">
        <f t="shared" si="2"/>
        <v>0.51636363636363625</v>
      </c>
      <c r="M10" s="19">
        <f t="shared" si="3"/>
        <v>2</v>
      </c>
    </row>
    <row r="11" spans="3:13" ht="15.75" x14ac:dyDescent="0.25">
      <c r="C11" s="6" t="s">
        <v>21</v>
      </c>
      <c r="D11" s="18">
        <f t="shared" si="0"/>
        <v>2.5599999999999987</v>
      </c>
      <c r="E11" s="17">
        <f>AVERAGE('1 - Protect'!D9,'2 - Inst. Complexity'!D9,'3 - Floodplain'!D9,'4 - Riparian Veg'!D9,'5 - Fish Passage'!D9,'6 - Instream Flow'!D9,'7 - Thermal Refuge'!D9,'8 - WQ Imp'!D9,'9 - Nutrient Enh'!D9,'10 - Upland'!D9,'11 - Species Manage.'!D9)</f>
        <v>0.23272727272727262</v>
      </c>
      <c r="F11" s="19">
        <f t="shared" si="1"/>
        <v>6</v>
      </c>
      <c r="G11" s="19"/>
      <c r="H11" s="19"/>
      <c r="I11" s="21">
        <v>5</v>
      </c>
      <c r="J11" s="21" t="s">
        <v>52</v>
      </c>
      <c r="K11" s="18">
        <f>'5 - Fish Passage'!D20</f>
        <v>2.3799999999999994</v>
      </c>
      <c r="L11" s="18">
        <f t="shared" si="2"/>
        <v>0.21636363636363631</v>
      </c>
      <c r="M11" s="19">
        <f t="shared" si="3"/>
        <v>7</v>
      </c>
    </row>
    <row r="12" spans="3:13" ht="15.75" x14ac:dyDescent="0.25">
      <c r="C12" s="6" t="s">
        <v>22</v>
      </c>
      <c r="D12" s="18">
        <f t="shared" si="0"/>
        <v>1.86</v>
      </c>
      <c r="E12" s="17">
        <f>AVERAGE('1 - Protect'!D10,'2 - Inst. Complexity'!D10,'3 - Floodplain'!D10,'4 - Riparian Veg'!D10,'5 - Fish Passage'!D10,'6 - Instream Flow'!D10,'7 - Thermal Refuge'!D10,'8 - WQ Imp'!D10,'9 - Nutrient Enh'!D10,'10 - Upland'!D10,'11 - Species Manage.'!D10)</f>
        <v>0.1690909090909091</v>
      </c>
      <c r="F12" s="19">
        <f t="shared" si="1"/>
        <v>10</v>
      </c>
      <c r="G12" s="19"/>
      <c r="H12" s="19"/>
      <c r="I12" s="21">
        <v>6</v>
      </c>
      <c r="J12" s="21" t="s">
        <v>53</v>
      </c>
      <c r="K12" s="18">
        <f>'6 - Instream Flow'!D20</f>
        <v>4.3199999999999985</v>
      </c>
      <c r="L12" s="18">
        <f t="shared" si="2"/>
        <v>0.39272727272727259</v>
      </c>
      <c r="M12" s="19">
        <f t="shared" si="3"/>
        <v>4</v>
      </c>
    </row>
    <row r="13" spans="3:13" ht="15.75" x14ac:dyDescent="0.25">
      <c r="C13" s="6" t="s">
        <v>23</v>
      </c>
      <c r="D13" s="18">
        <f t="shared" si="0"/>
        <v>1.6400000000000001</v>
      </c>
      <c r="E13" s="17">
        <f>AVERAGE('1 - Protect'!D11,'2 - Inst. Complexity'!D11,'3 - Floodplain'!D11,'4 - Riparian Veg'!D11,'5 - Fish Passage'!D11,'6 - Instream Flow'!D11,'7 - Thermal Refuge'!D11,'8 - WQ Imp'!D11,'9 - Nutrient Enh'!D11,'10 - Upland'!D11,'11 - Species Manage.'!D11)</f>
        <v>0.14909090909090911</v>
      </c>
      <c r="F13" s="19">
        <f t="shared" si="1"/>
        <v>13</v>
      </c>
      <c r="G13" s="19"/>
      <c r="H13" s="19"/>
      <c r="I13" s="21">
        <v>7</v>
      </c>
      <c r="J13" s="21" t="s">
        <v>54</v>
      </c>
      <c r="K13" s="18">
        <f>'7 - Thermal Refuge'!D20</f>
        <v>2.4899999999999993</v>
      </c>
      <c r="L13" s="18">
        <f t="shared" si="2"/>
        <v>0.22636363636363629</v>
      </c>
      <c r="M13" s="19">
        <f t="shared" si="3"/>
        <v>6</v>
      </c>
    </row>
    <row r="14" spans="3:13" ht="15.75" x14ac:dyDescent="0.25">
      <c r="C14" s="6" t="s">
        <v>24</v>
      </c>
      <c r="D14" s="18">
        <f t="shared" si="0"/>
        <v>1.86</v>
      </c>
      <c r="E14" s="17">
        <f>AVERAGE('1 - Protect'!D12,'2 - Inst. Complexity'!D12,'3 - Floodplain'!D12,'4 - Riparian Veg'!D12,'5 - Fish Passage'!D12,'6 - Instream Flow'!D12,'7 - Thermal Refuge'!D12,'8 - WQ Imp'!D12,'9 - Nutrient Enh'!D12,'10 - Upland'!D12,'11 - Species Manage.'!D12)</f>
        <v>0.1690909090909091</v>
      </c>
      <c r="F14" s="19">
        <f t="shared" si="1"/>
        <v>10</v>
      </c>
      <c r="G14" s="19"/>
      <c r="H14" s="19"/>
      <c r="I14" s="21">
        <v>8</v>
      </c>
      <c r="J14" s="21" t="s">
        <v>55</v>
      </c>
      <c r="K14" s="18">
        <f>'8 - WQ Imp'!D21</f>
        <v>1.87</v>
      </c>
      <c r="L14" s="18">
        <f t="shared" si="2"/>
        <v>0.17</v>
      </c>
      <c r="M14" s="19">
        <f t="shared" si="3"/>
        <v>9</v>
      </c>
    </row>
    <row r="15" spans="3:13" ht="15.75" x14ac:dyDescent="0.25">
      <c r="C15" s="6" t="s">
        <v>25</v>
      </c>
      <c r="D15" s="18">
        <f t="shared" si="0"/>
        <v>2.2999999999999989</v>
      </c>
      <c r="E15" s="17">
        <f>AVERAGE('1 - Protect'!D13,'2 - Inst. Complexity'!D13,'3 - Floodplain'!D13,'4 - Riparian Veg'!D13,'5 - Fish Passage'!D13,'6 - Instream Flow'!D13,'7 - Thermal Refuge'!D13,'8 - WQ Imp'!D13,'9 - Nutrient Enh'!D13,'10 - Upland'!D13,'11 - Species Manage.'!D13)</f>
        <v>0.20909090909090899</v>
      </c>
      <c r="F15" s="19">
        <f t="shared" si="1"/>
        <v>8</v>
      </c>
      <c r="G15" s="19"/>
      <c r="H15" s="19"/>
      <c r="I15" s="21">
        <v>9</v>
      </c>
      <c r="J15" s="21" t="s">
        <v>56</v>
      </c>
      <c r="K15" s="18">
        <f>'9 - Nutrient Enh'!D20</f>
        <v>1.4200000000000002</v>
      </c>
      <c r="L15" s="18">
        <f t="shared" si="2"/>
        <v>0.12909090909090912</v>
      </c>
      <c r="M15" s="19">
        <f t="shared" si="3"/>
        <v>11</v>
      </c>
    </row>
    <row r="16" spans="3:13" ht="15.75" x14ac:dyDescent="0.25">
      <c r="C16" s="6" t="s">
        <v>26</v>
      </c>
      <c r="D16" s="18">
        <f t="shared" si="0"/>
        <v>3.87</v>
      </c>
      <c r="E16" s="17">
        <f>AVERAGE('1 - Protect'!D14,'2 - Inst. Complexity'!D14,'3 - Floodplain'!D14,'4 - Riparian Veg'!D14,'5 - Fish Passage'!D14,'6 - Instream Flow'!D14,'7 - Thermal Refuge'!D14,'8 - WQ Imp'!D14,'9 - Nutrient Enh'!D14,'10 - Upland'!D14,'11 - Species Manage.'!D14)</f>
        <v>0.35181818181818181</v>
      </c>
      <c r="F16" s="19">
        <f t="shared" si="1"/>
        <v>1</v>
      </c>
      <c r="G16" s="19"/>
      <c r="H16" s="19"/>
      <c r="I16" s="21">
        <v>10</v>
      </c>
      <c r="J16" s="21" t="s">
        <v>57</v>
      </c>
      <c r="K16" s="18">
        <f>'10 - Upland'!D20</f>
        <v>1.83</v>
      </c>
      <c r="L16" s="18">
        <f t="shared" si="2"/>
        <v>0.16636363636363638</v>
      </c>
      <c r="M16" s="19">
        <f t="shared" si="3"/>
        <v>10</v>
      </c>
    </row>
    <row r="17" spans="3:13" ht="15.75" x14ac:dyDescent="0.25">
      <c r="C17" s="6" t="s">
        <v>27</v>
      </c>
      <c r="D17" s="18">
        <f t="shared" si="0"/>
        <v>1.9100000000000001</v>
      </c>
      <c r="E17" s="17">
        <f>AVERAGE('1 - Protect'!D15,'2 - Inst. Complexity'!D15,'3 - Floodplain'!D15,'4 - Riparian Veg'!D15,'5 - Fish Passage'!D15,'6 - Instream Flow'!D15,'7 - Thermal Refuge'!D15,'8 - WQ Imp'!D15,'9 - Nutrient Enh'!D15,'10 - Upland'!D15,'11 - Species Manage.'!D15)</f>
        <v>0.17363636363636364</v>
      </c>
      <c r="F17" s="19">
        <f t="shared" si="1"/>
        <v>9</v>
      </c>
      <c r="G17" s="19"/>
      <c r="H17" s="19"/>
      <c r="I17" s="21">
        <v>11</v>
      </c>
      <c r="J17" s="21" t="s">
        <v>58</v>
      </c>
      <c r="K17" s="18">
        <f>'11 - Species Manage.'!D20</f>
        <v>2.13</v>
      </c>
      <c r="L17" s="18">
        <f t="shared" si="2"/>
        <v>0.19363636363636363</v>
      </c>
      <c r="M17" s="19">
        <f t="shared" si="3"/>
        <v>8</v>
      </c>
    </row>
    <row r="18" spans="3:13" ht="15.75" x14ac:dyDescent="0.25">
      <c r="C18" s="6" t="s">
        <v>28</v>
      </c>
      <c r="D18" s="18">
        <f t="shared" si="0"/>
        <v>1.8</v>
      </c>
      <c r="E18" s="17">
        <f>AVERAGE('1 - Protect'!D16,'2 - Inst. Complexity'!D16,'3 - Floodplain'!D16,'4 - Riparian Veg'!D16,'5 - Fish Passage'!D16,'6 - Instream Flow'!D16,'7 - Thermal Refuge'!D16,'8 - WQ Imp'!D16,'9 - Nutrient Enh'!D16,'10 - Upland'!D16,'11 - Species Manage.'!D16)</f>
        <v>0.16363636363636364</v>
      </c>
      <c r="F18" s="19">
        <f t="shared" si="1"/>
        <v>12</v>
      </c>
      <c r="G18" s="19"/>
      <c r="H18" s="19"/>
      <c r="I18" s="19"/>
      <c r="J18" s="19"/>
      <c r="K18" s="18">
        <f>SUM(K7:K17)</f>
        <v>36.729999999999997</v>
      </c>
      <c r="L18" s="18">
        <f>SUM(L7:L17)</f>
        <v>3.3390909090909084</v>
      </c>
      <c r="M18" s="19"/>
    </row>
    <row r="19" spans="3:13" ht="15.75" x14ac:dyDescent="0.25">
      <c r="C19" s="6" t="s">
        <v>10</v>
      </c>
      <c r="D19" s="18">
        <f t="shared" si="0"/>
        <v>2.4900000000000002</v>
      </c>
      <c r="E19" s="17">
        <f>AVERAGE('1 - Protect'!D17,'2 - Inst. Complexity'!D17,'3 - Floodplain'!D17,'4 - Riparian Veg'!D17,'5 - Fish Passage'!D17,'6 - Instream Flow'!D17,'7 - Thermal Refuge'!D17,'8 - WQ Imp'!D17,'9 - Nutrient Enh'!D17,'10 - Upland'!D17,'11 - Species Manage.'!D17)</f>
        <v>0.22636363636363638</v>
      </c>
      <c r="F19" s="19">
        <f t="shared" si="1"/>
        <v>7</v>
      </c>
      <c r="G19" s="19"/>
      <c r="H19" s="19"/>
      <c r="I19" s="19"/>
      <c r="J19" s="19"/>
      <c r="K19" s="19"/>
      <c r="L19" s="19"/>
      <c r="M19" s="19"/>
    </row>
    <row r="20" spans="3:13" ht="15.75" x14ac:dyDescent="0.25">
      <c r="C20" s="6" t="s">
        <v>11</v>
      </c>
      <c r="D20" s="18">
        <f t="shared" si="0"/>
        <v>3.0599999999999996</v>
      </c>
      <c r="E20" s="17">
        <f>AVERAGE('1 - Protect'!D18,'2 - Inst. Complexity'!D18,'3 - Floodplain'!D18,'4 - Riparian Veg'!D18,'5 - Fish Passage'!D18,'6 - Instream Flow'!D18,'7 - Thermal Refuge'!D18,'8 - WQ Imp'!D18,'9 - Nutrient Enh'!D18,'10 - Upland'!D18,'11 - Species Manage.'!D18)</f>
        <v>0.27818181818181814</v>
      </c>
      <c r="F20" s="19">
        <f t="shared" si="1"/>
        <v>5</v>
      </c>
      <c r="G20" s="19"/>
      <c r="H20" s="19"/>
      <c r="I20" s="19"/>
      <c r="J20" s="19"/>
      <c r="K20" s="19"/>
      <c r="L20" s="19"/>
      <c r="M20" s="19"/>
    </row>
    <row r="21" spans="3:13" ht="15.75" x14ac:dyDescent="0.25">
      <c r="C21" s="6" t="s">
        <v>29</v>
      </c>
      <c r="D21" s="18">
        <f t="shared" si="0"/>
        <v>1.5</v>
      </c>
      <c r="E21" s="17">
        <f>AVERAGE('1 - Protect'!D19,'2 - Inst. Complexity'!D19,'3 - Floodplain'!D19,'4 - Riparian Veg'!D19,'5 - Fish Passage'!D19,'6 - Instream Flow'!D19,'7 - Thermal Refuge'!D19,'8 - WQ Imp'!D19,'9 - Nutrient Enh'!D19,'10 - Upland'!D19,'11 - Species Manage.'!D19)</f>
        <v>0.13636363636363635</v>
      </c>
      <c r="F21" s="19">
        <f t="shared" si="1"/>
        <v>15</v>
      </c>
      <c r="G21" s="19"/>
      <c r="H21" s="19"/>
      <c r="I21" s="19"/>
      <c r="J21" s="19"/>
      <c r="K21" s="19"/>
      <c r="L21" s="19"/>
      <c r="M21" s="19"/>
    </row>
    <row r="22" spans="3:13" ht="15.75" x14ac:dyDescent="0.25">
      <c r="C22" s="19"/>
      <c r="D22" s="18">
        <f>SUM(D7:D21)</f>
        <v>36.72</v>
      </c>
      <c r="E22" s="18">
        <f>SUM(E7:E21)</f>
        <v>3.3381818181818179</v>
      </c>
      <c r="F22" s="19"/>
      <c r="G22" s="19"/>
      <c r="H22" s="19"/>
      <c r="I22" s="19"/>
      <c r="J22" s="19"/>
      <c r="K22" s="19"/>
      <c r="L22" s="19"/>
      <c r="M22" s="19"/>
    </row>
    <row r="24" spans="3:13" x14ac:dyDescent="0.25">
      <c r="C24" s="22" t="s">
        <v>62</v>
      </c>
      <c r="D24" s="22">
        <v>11</v>
      </c>
    </row>
    <row r="25" spans="3:13" x14ac:dyDescent="0.25">
      <c r="C25" s="22" t="s">
        <v>63</v>
      </c>
      <c r="D25" s="22">
        <v>15</v>
      </c>
    </row>
  </sheetData>
  <conditionalFormatting sqref="D7:D21">
    <cfRule type="colorScale" priority="5">
      <colorScale>
        <cfvo type="min"/>
        <cfvo type="max"/>
        <color rgb="FFFCFCFF"/>
        <color rgb="FF63BE7B"/>
      </colorScale>
    </cfRule>
  </conditionalFormatting>
  <conditionalFormatting sqref="E7:E21">
    <cfRule type="colorScale" priority="6">
      <colorScale>
        <cfvo type="min"/>
        <cfvo type="max"/>
        <color rgb="FFFCFCFF"/>
        <color rgb="FF63BE7B"/>
      </colorScale>
    </cfRule>
    <cfRule type="colorScale" priority="7">
      <colorScale>
        <cfvo type="min"/>
        <cfvo type="percentile" val="50"/>
        <cfvo type="max"/>
        <color rgb="FFF8696B"/>
        <color rgb="FFFCFCFF"/>
        <color rgb="FF63BE7B"/>
      </colorScale>
    </cfRule>
  </conditionalFormatting>
  <conditionalFormatting sqref="F7:F21">
    <cfRule type="colorScale" priority="1">
      <colorScale>
        <cfvo type="min"/>
        <cfvo type="max"/>
        <color rgb="FF63BE7B"/>
        <color rgb="FFFCFCFF"/>
      </colorScale>
    </cfRule>
  </conditionalFormatting>
  <conditionalFormatting sqref="K7:K17">
    <cfRule type="colorScale" priority="4">
      <colorScale>
        <cfvo type="min"/>
        <cfvo type="max"/>
        <color rgb="FFFCFCFF"/>
        <color rgb="FF63BE7B"/>
      </colorScale>
    </cfRule>
  </conditionalFormatting>
  <conditionalFormatting sqref="L7:L17">
    <cfRule type="colorScale" priority="3">
      <colorScale>
        <cfvo type="min"/>
        <cfvo type="max"/>
        <color rgb="FFFCFCFF"/>
        <color rgb="FF63BE7B"/>
      </colorScale>
    </cfRule>
  </conditionalFormatting>
  <conditionalFormatting sqref="M7:M17">
    <cfRule type="colorScale" priority="2">
      <colorScale>
        <cfvo type="min"/>
        <cfvo type="max"/>
        <color rgb="FF63BE7B"/>
        <color rgb="FFFCFCFF"/>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5E05D-A0F0-4A33-A685-8172562A40AA}">
  <dimension ref="A1:M20"/>
  <sheetViews>
    <sheetView zoomScale="130" zoomScaleNormal="130" workbookViewId="0">
      <selection activeCell="A19" sqref="A19"/>
    </sheetView>
  </sheetViews>
  <sheetFormatPr defaultRowHeight="15" x14ac:dyDescent="0.25"/>
  <cols>
    <col min="1" max="1" width="55.85546875" bestFit="1" customWidth="1"/>
    <col min="2" max="2" width="14.42578125" customWidth="1"/>
    <col min="3" max="3" width="12.5703125" customWidth="1"/>
    <col min="4" max="4" width="13" customWidth="1"/>
    <col min="5" max="5" width="26.7109375" customWidth="1"/>
    <col min="11" max="11" width="24" bestFit="1" customWidth="1"/>
  </cols>
  <sheetData>
    <row r="1" spans="1:13" ht="18.75" x14ac:dyDescent="0.3">
      <c r="A1" s="3" t="s">
        <v>41</v>
      </c>
    </row>
    <row r="2" spans="1:13" s="1" customFormat="1" x14ac:dyDescent="0.25">
      <c r="B2" s="13" t="s">
        <v>38</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9</v>
      </c>
      <c r="C5" s="7" t="s">
        <v>73</v>
      </c>
      <c r="D5">
        <f t="shared" ref="D5:D19" si="0">VLOOKUP(B5,$L$7:$M$9,2,FALSE)*VLOOKUP(C5,$L$11:$M$13,2,FALSE)</f>
        <v>0.25</v>
      </c>
    </row>
    <row r="6" spans="1:13" ht="15.75" x14ac:dyDescent="0.25">
      <c r="A6" s="6" t="s">
        <v>18</v>
      </c>
      <c r="B6" s="7" t="s">
        <v>9</v>
      </c>
      <c r="C6" s="7" t="s">
        <v>15</v>
      </c>
      <c r="D6">
        <f t="shared" si="0"/>
        <v>0.5</v>
      </c>
    </row>
    <row r="7" spans="1:13" ht="15.75" x14ac:dyDescent="0.25">
      <c r="A7" s="6" t="s">
        <v>19</v>
      </c>
      <c r="B7" s="7" t="s">
        <v>9</v>
      </c>
      <c r="C7" s="7" t="s">
        <v>73</v>
      </c>
      <c r="D7">
        <f t="shared" si="0"/>
        <v>0.25</v>
      </c>
      <c r="K7" t="s">
        <v>0</v>
      </c>
      <c r="L7" t="s">
        <v>7</v>
      </c>
      <c r="M7">
        <f>Score!E14</f>
        <v>1</v>
      </c>
    </row>
    <row r="8" spans="1:13" ht="15.75" x14ac:dyDescent="0.25">
      <c r="A8" s="6" t="s">
        <v>20</v>
      </c>
      <c r="B8" s="7" t="s">
        <v>9</v>
      </c>
      <c r="C8" s="7" t="s">
        <v>73</v>
      </c>
      <c r="D8">
        <f t="shared" si="0"/>
        <v>0.25</v>
      </c>
      <c r="K8" t="s">
        <v>1</v>
      </c>
      <c r="L8" t="s">
        <v>9</v>
      </c>
      <c r="M8">
        <f>Score!E15</f>
        <v>0.5</v>
      </c>
    </row>
    <row r="9" spans="1:13" ht="15.75" x14ac:dyDescent="0.25">
      <c r="A9" s="6" t="s">
        <v>21</v>
      </c>
      <c r="B9" s="7" t="s">
        <v>9</v>
      </c>
      <c r="C9" s="7" t="s">
        <v>73</v>
      </c>
      <c r="D9">
        <f t="shared" si="0"/>
        <v>0.25</v>
      </c>
      <c r="K9" t="s">
        <v>2</v>
      </c>
      <c r="L9" t="s">
        <v>8</v>
      </c>
      <c r="M9">
        <f>Score!E16</f>
        <v>0.1</v>
      </c>
    </row>
    <row r="10" spans="1:13" ht="15.75" x14ac:dyDescent="0.25">
      <c r="A10" s="6" t="s">
        <v>22</v>
      </c>
      <c r="B10" s="7" t="s">
        <v>9</v>
      </c>
      <c r="C10" s="7" t="s">
        <v>73</v>
      </c>
      <c r="D10">
        <f t="shared" si="0"/>
        <v>0.25</v>
      </c>
    </row>
    <row r="11" spans="1:13" ht="15.75" x14ac:dyDescent="0.25">
      <c r="A11" s="6" t="s">
        <v>23</v>
      </c>
      <c r="B11" s="7" t="s">
        <v>9</v>
      </c>
      <c r="C11" s="7" t="s">
        <v>73</v>
      </c>
      <c r="D11">
        <f t="shared" si="0"/>
        <v>0.25</v>
      </c>
      <c r="K11" t="s">
        <v>3</v>
      </c>
      <c r="L11" t="s">
        <v>15</v>
      </c>
      <c r="M11">
        <f>Score!E18</f>
        <v>1</v>
      </c>
    </row>
    <row r="12" spans="1:13" ht="15.75" x14ac:dyDescent="0.25">
      <c r="A12" s="6" t="s">
        <v>24</v>
      </c>
      <c r="B12" s="7" t="s">
        <v>9</v>
      </c>
      <c r="C12" s="7" t="s">
        <v>73</v>
      </c>
      <c r="D12">
        <f t="shared" si="0"/>
        <v>0.25</v>
      </c>
      <c r="K12" t="s">
        <v>65</v>
      </c>
      <c r="L12" t="s">
        <v>73</v>
      </c>
      <c r="M12">
        <f>Score!E19</f>
        <v>0.5</v>
      </c>
    </row>
    <row r="13" spans="1:13" ht="15.75" x14ac:dyDescent="0.25">
      <c r="A13" s="6" t="s">
        <v>25</v>
      </c>
      <c r="B13" s="7" t="s">
        <v>9</v>
      </c>
      <c r="C13" s="7" t="s">
        <v>73</v>
      </c>
      <c r="D13">
        <f t="shared" si="0"/>
        <v>0.25</v>
      </c>
      <c r="K13" t="s">
        <v>4</v>
      </c>
      <c r="L13" t="s">
        <v>16</v>
      </c>
      <c r="M13">
        <f>Score!E20</f>
        <v>0.1</v>
      </c>
    </row>
    <row r="14" spans="1:13" ht="15.75" x14ac:dyDescent="0.25">
      <c r="A14" s="6" t="s">
        <v>26</v>
      </c>
      <c r="B14" s="7" t="s">
        <v>9</v>
      </c>
      <c r="C14" s="7" t="s">
        <v>16</v>
      </c>
      <c r="D14">
        <f t="shared" si="0"/>
        <v>0.05</v>
      </c>
    </row>
    <row r="15" spans="1:13" ht="15.75" x14ac:dyDescent="0.25">
      <c r="A15" s="6" t="s">
        <v>27</v>
      </c>
      <c r="B15" s="7" t="s">
        <v>9</v>
      </c>
      <c r="C15" s="7" t="s">
        <v>16</v>
      </c>
      <c r="D15">
        <f t="shared" si="0"/>
        <v>0.05</v>
      </c>
    </row>
    <row r="16" spans="1:13" ht="15.75" x14ac:dyDescent="0.25">
      <c r="A16" s="6" t="s">
        <v>28</v>
      </c>
      <c r="B16" s="7" t="s">
        <v>9</v>
      </c>
      <c r="C16" s="7" t="s">
        <v>73</v>
      </c>
      <c r="D16">
        <f t="shared" si="0"/>
        <v>0.25</v>
      </c>
    </row>
    <row r="17" spans="1:4" ht="15.75" x14ac:dyDescent="0.25">
      <c r="A17" s="6" t="s">
        <v>10</v>
      </c>
      <c r="B17" s="7" t="s">
        <v>9</v>
      </c>
      <c r="C17" s="7" t="s">
        <v>16</v>
      </c>
      <c r="D17">
        <f t="shared" si="0"/>
        <v>0.05</v>
      </c>
    </row>
    <row r="18" spans="1:4" ht="15.75" x14ac:dyDescent="0.25">
      <c r="A18" s="6" t="s">
        <v>11</v>
      </c>
      <c r="B18" s="7" t="s">
        <v>9</v>
      </c>
      <c r="C18" s="7" t="s">
        <v>73</v>
      </c>
      <c r="D18">
        <f t="shared" si="0"/>
        <v>0.25</v>
      </c>
    </row>
    <row r="19" spans="1:4" ht="15.75" x14ac:dyDescent="0.25">
      <c r="A19" s="6" t="s">
        <v>29</v>
      </c>
      <c r="B19" s="7" t="s">
        <v>9</v>
      </c>
      <c r="C19" s="7" t="s">
        <v>16</v>
      </c>
      <c r="D19">
        <f t="shared" si="0"/>
        <v>0.05</v>
      </c>
    </row>
    <row r="20" spans="1:4" x14ac:dyDescent="0.25">
      <c r="C20" s="10" t="s">
        <v>35</v>
      </c>
      <c r="D20" s="11">
        <f>SUM(D5:D19)</f>
        <v>3.1999999999999993</v>
      </c>
    </row>
  </sheetData>
  <conditionalFormatting sqref="B5:B19">
    <cfRule type="expression" dxfId="95" priority="1">
      <formula>B5="D"</formula>
    </cfRule>
    <cfRule type="expression" dxfId="94" priority="2">
      <formula>B5="I"</formula>
    </cfRule>
    <cfRule type="expression" dxfId="93" priority="3">
      <formula>B5="N"</formula>
    </cfRule>
  </conditionalFormatting>
  <conditionalFormatting sqref="C5:C20 E7:E9">
    <cfRule type="expression" dxfId="92" priority="5">
      <formula>C5="C"</formula>
    </cfRule>
    <cfRule type="expression" dxfId="91" priority="6">
      <formula>C5="CD"</formula>
    </cfRule>
    <cfRule type="expression" dxfId="90" priority="7">
      <formula>C5="R"</formula>
    </cfRule>
  </conditionalFormatting>
  <conditionalFormatting sqref="D5:D19">
    <cfRule type="colorScale" priority="24">
      <colorScale>
        <cfvo type="min"/>
        <cfvo type="percentile" val="50"/>
        <cfvo type="max"/>
        <color rgb="FFF8696B"/>
        <color rgb="FFFFEB84"/>
        <color rgb="FF63BE7B"/>
      </colorScale>
    </cfRule>
  </conditionalFormatting>
  <dataValidations count="3">
    <dataValidation allowBlank="1" sqref="D5:D19" xr:uid="{C4DF75F5-A894-4D8F-AF0F-FED5015A351B}"/>
    <dataValidation type="list" allowBlank="1" sqref="B5:B19" xr:uid="{2451E7F5-ADB3-4F7E-84B9-A1D3CEF83481}">
      <formula1>$L$7:$L$9</formula1>
    </dataValidation>
    <dataValidation type="list" allowBlank="1" sqref="C5:C19" xr:uid="{AD83FB87-2308-404A-9AEE-68732BDA0575}">
      <formula1>$L$11:$L$13</formula1>
    </dataValidation>
  </dataValidations>
  <pageMargins left="0.75" right="0.75" top="1" bottom="1" header="0.5" footer="0.5"/>
  <pageSetup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4B78-B290-43D0-91A2-F9DFAD2B7888}">
  <dimension ref="A1:M20"/>
  <sheetViews>
    <sheetView zoomScale="115" zoomScaleNormal="115" workbookViewId="0">
      <selection activeCell="C5" sqref="C5:C19"/>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41</v>
      </c>
    </row>
    <row r="2" spans="1:13" s="1" customFormat="1" ht="30" x14ac:dyDescent="0.25">
      <c r="B2" s="13" t="s">
        <v>39</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8</v>
      </c>
      <c r="C5" s="7" t="s">
        <v>16</v>
      </c>
      <c r="D5">
        <f t="shared" ref="D5:D19" si="0">VLOOKUP(B5,$L$7:$M$9,2,FALSE)*VLOOKUP(C5,$L$11:$M$13,2,FALSE)</f>
        <v>1.0000000000000002E-2</v>
      </c>
    </row>
    <row r="6" spans="1:13" ht="15.75" x14ac:dyDescent="0.25">
      <c r="A6" s="6" t="s">
        <v>18</v>
      </c>
      <c r="B6" s="7" t="s">
        <v>9</v>
      </c>
      <c r="C6" s="7" t="s">
        <v>73</v>
      </c>
      <c r="D6">
        <f t="shared" si="0"/>
        <v>0.25</v>
      </c>
    </row>
    <row r="7" spans="1:13" ht="15.75" x14ac:dyDescent="0.25">
      <c r="A7" s="6" t="s">
        <v>19</v>
      </c>
      <c r="B7" s="7" t="s">
        <v>9</v>
      </c>
      <c r="C7" s="7" t="s">
        <v>15</v>
      </c>
      <c r="D7">
        <f t="shared" si="0"/>
        <v>0.5</v>
      </c>
      <c r="K7" t="s">
        <v>0</v>
      </c>
      <c r="L7" t="s">
        <v>7</v>
      </c>
      <c r="M7">
        <f>Score!E14</f>
        <v>1</v>
      </c>
    </row>
    <row r="8" spans="1:13" ht="15.75" x14ac:dyDescent="0.25">
      <c r="A8" s="6" t="s">
        <v>20</v>
      </c>
      <c r="B8" s="7" t="s">
        <v>7</v>
      </c>
      <c r="C8" s="7" t="s">
        <v>15</v>
      </c>
      <c r="D8">
        <f t="shared" si="0"/>
        <v>1</v>
      </c>
      <c r="K8" t="s">
        <v>1</v>
      </c>
      <c r="L8" t="s">
        <v>9</v>
      </c>
      <c r="M8">
        <f>Score!E15</f>
        <v>0.5</v>
      </c>
    </row>
    <row r="9" spans="1:13" ht="15.75" x14ac:dyDescent="0.25">
      <c r="A9" s="6" t="s">
        <v>21</v>
      </c>
      <c r="B9" s="7" t="s">
        <v>7</v>
      </c>
      <c r="C9" s="7" t="s">
        <v>15</v>
      </c>
      <c r="D9">
        <f t="shared" si="0"/>
        <v>1</v>
      </c>
      <c r="K9" t="s">
        <v>2</v>
      </c>
      <c r="L9" t="s">
        <v>8</v>
      </c>
      <c r="M9">
        <f>Score!E16</f>
        <v>0.1</v>
      </c>
    </row>
    <row r="10" spans="1:13" ht="15.75" x14ac:dyDescent="0.25">
      <c r="A10" s="6" t="s">
        <v>22</v>
      </c>
      <c r="B10" s="7" t="s">
        <v>8</v>
      </c>
      <c r="C10" s="7" t="s">
        <v>16</v>
      </c>
      <c r="D10">
        <f t="shared" si="0"/>
        <v>1.0000000000000002E-2</v>
      </c>
    </row>
    <row r="11" spans="1:13" ht="15.75" x14ac:dyDescent="0.25">
      <c r="A11" s="6" t="s">
        <v>23</v>
      </c>
      <c r="B11" s="7" t="s">
        <v>8</v>
      </c>
      <c r="C11" s="7" t="s">
        <v>73</v>
      </c>
      <c r="D11">
        <f t="shared" si="0"/>
        <v>0.05</v>
      </c>
      <c r="K11" t="s">
        <v>3</v>
      </c>
      <c r="L11" t="s">
        <v>15</v>
      </c>
      <c r="M11">
        <f>Score!E18</f>
        <v>1</v>
      </c>
    </row>
    <row r="12" spans="1:13" ht="15.75" x14ac:dyDescent="0.25">
      <c r="A12" s="6" t="s">
        <v>24</v>
      </c>
      <c r="B12" s="7" t="s">
        <v>9</v>
      </c>
      <c r="C12" s="7" t="s">
        <v>73</v>
      </c>
      <c r="D12">
        <f t="shared" si="0"/>
        <v>0.25</v>
      </c>
      <c r="K12" t="s">
        <v>65</v>
      </c>
      <c r="L12" t="s">
        <v>73</v>
      </c>
      <c r="M12">
        <f>Score!E19</f>
        <v>0.5</v>
      </c>
    </row>
    <row r="13" spans="1:13" ht="15.75" x14ac:dyDescent="0.25">
      <c r="A13" s="6" t="s">
        <v>25</v>
      </c>
      <c r="B13" s="7" t="s">
        <v>9</v>
      </c>
      <c r="C13" s="7" t="s">
        <v>15</v>
      </c>
      <c r="D13">
        <f t="shared" si="0"/>
        <v>0.5</v>
      </c>
      <c r="K13" t="s">
        <v>4</v>
      </c>
      <c r="L13" t="s">
        <v>16</v>
      </c>
      <c r="M13">
        <f>Score!E20</f>
        <v>0.1</v>
      </c>
    </row>
    <row r="14" spans="1:13" ht="15.75" x14ac:dyDescent="0.25">
      <c r="A14" s="6" t="s">
        <v>26</v>
      </c>
      <c r="B14" s="7" t="s">
        <v>9</v>
      </c>
      <c r="C14" s="7" t="s">
        <v>73</v>
      </c>
      <c r="D14">
        <f t="shared" si="0"/>
        <v>0.25</v>
      </c>
    </row>
    <row r="15" spans="1:13" ht="15.75" x14ac:dyDescent="0.25">
      <c r="A15" s="6" t="s">
        <v>27</v>
      </c>
      <c r="B15" s="7" t="s">
        <v>9</v>
      </c>
      <c r="C15" s="7" t="s">
        <v>73</v>
      </c>
      <c r="D15">
        <f t="shared" si="0"/>
        <v>0.25</v>
      </c>
    </row>
    <row r="16" spans="1:13" ht="15.75" x14ac:dyDescent="0.25">
      <c r="A16" s="6" t="s">
        <v>28</v>
      </c>
      <c r="B16" s="7" t="s">
        <v>8</v>
      </c>
      <c r="C16" s="7" t="s">
        <v>16</v>
      </c>
      <c r="D16">
        <f t="shared" si="0"/>
        <v>1.0000000000000002E-2</v>
      </c>
    </row>
    <row r="17" spans="1:4" ht="15.75" x14ac:dyDescent="0.25">
      <c r="A17" s="6" t="s">
        <v>10</v>
      </c>
      <c r="B17" s="7" t="s">
        <v>9</v>
      </c>
      <c r="C17" s="7" t="s">
        <v>73</v>
      </c>
      <c r="D17">
        <f t="shared" si="0"/>
        <v>0.25</v>
      </c>
    </row>
    <row r="18" spans="1:4" ht="15.75" x14ac:dyDescent="0.25">
      <c r="A18" s="6" t="s">
        <v>11</v>
      </c>
      <c r="B18" s="7" t="s">
        <v>8</v>
      </c>
      <c r="C18" s="7" t="s">
        <v>16</v>
      </c>
      <c r="D18">
        <f t="shared" si="0"/>
        <v>1.0000000000000002E-2</v>
      </c>
    </row>
    <row r="19" spans="1:4" ht="15.75" x14ac:dyDescent="0.25">
      <c r="A19" s="6" t="s">
        <v>29</v>
      </c>
      <c r="B19" s="7" t="s">
        <v>9</v>
      </c>
      <c r="C19" s="7" t="s">
        <v>73</v>
      </c>
      <c r="D19">
        <f t="shared" si="0"/>
        <v>0.25</v>
      </c>
    </row>
    <row r="20" spans="1:4" x14ac:dyDescent="0.25">
      <c r="C20" s="10" t="s">
        <v>35</v>
      </c>
      <c r="D20" s="11">
        <f>SUM(D5:D19)</f>
        <v>4.589999999999999</v>
      </c>
    </row>
  </sheetData>
  <conditionalFormatting sqref="B5:B19">
    <cfRule type="expression" dxfId="89" priority="4">
      <formula>B5="D"</formula>
    </cfRule>
    <cfRule type="expression" dxfId="88" priority="5">
      <formula>B5="I"</formula>
    </cfRule>
    <cfRule type="expression" dxfId="87" priority="6">
      <formula>B5="N"</formula>
    </cfRule>
  </conditionalFormatting>
  <conditionalFormatting sqref="C5:C19">
    <cfRule type="expression" dxfId="86" priority="2">
      <formula>C5="CD"</formula>
    </cfRule>
    <cfRule type="expression" dxfId="85" priority="3">
      <formula>C5="R"</formula>
    </cfRule>
  </conditionalFormatting>
  <conditionalFormatting sqref="C5:C20">
    <cfRule type="expression" dxfId="84" priority="1">
      <formula>C5="C"</formula>
    </cfRule>
  </conditionalFormatting>
  <conditionalFormatting sqref="D5:D19">
    <cfRule type="colorScale" priority="40">
      <colorScale>
        <cfvo type="min"/>
        <cfvo type="percentile" val="50"/>
        <cfvo type="max"/>
        <color rgb="FFF8696B"/>
        <color rgb="FFFFEB84"/>
        <color rgb="FF63BE7B"/>
      </colorScale>
    </cfRule>
  </conditionalFormatting>
  <conditionalFormatting sqref="E7:E9 C20">
    <cfRule type="expression" dxfId="83" priority="9">
      <formula>C7="S"</formula>
    </cfRule>
    <cfRule type="expression" dxfId="82" priority="10">
      <formula>C7="R"</formula>
    </cfRule>
  </conditionalFormatting>
  <conditionalFormatting sqref="E7:E9">
    <cfRule type="expression" dxfId="81" priority="8">
      <formula>E7="C"</formula>
    </cfRule>
  </conditionalFormatting>
  <dataValidations count="3">
    <dataValidation type="list" allowBlank="1" sqref="C5:C19" xr:uid="{5FF0D1F1-2B61-4D71-9F3B-A97B82FF4197}">
      <formula1>$L$11:$L$13</formula1>
    </dataValidation>
    <dataValidation type="list" allowBlank="1" sqref="B5:B19" xr:uid="{4EEFEE7A-6552-4FB0-9275-E8EEDBE1EE97}">
      <formula1>$L$7:$L$9</formula1>
    </dataValidation>
    <dataValidation allowBlank="1" sqref="D5:D19" xr:uid="{79B53D1E-A12D-4832-82F7-DF857A36AEFF}"/>
  </dataValidations>
  <pageMargins left="0.75" right="0.75" top="1" bottom="1" header="0.5" footer="0.5"/>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D392D-59BE-4F2E-B84F-9FCA74514A6E}">
  <dimension ref="A1:M20"/>
  <sheetViews>
    <sheetView zoomScale="130" zoomScaleNormal="130" workbookViewId="0">
      <selection activeCell="C5" sqref="C5:C19"/>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64</v>
      </c>
    </row>
    <row r="2" spans="1:13" s="1" customFormat="1" x14ac:dyDescent="0.25">
      <c r="B2" s="8" t="s">
        <v>32</v>
      </c>
      <c r="C2" s="9"/>
      <c r="D2" s="9"/>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8</v>
      </c>
      <c r="C5" s="7" t="s">
        <v>16</v>
      </c>
      <c r="D5">
        <f t="shared" ref="D5:D11" si="0">VLOOKUP(B5,$L$7:$M$9,2,FALSE)*VLOOKUP(C5,$L$11:$M$13,2,FALSE)</f>
        <v>1.0000000000000002E-2</v>
      </c>
    </row>
    <row r="6" spans="1:13" ht="15.75" x14ac:dyDescent="0.25">
      <c r="A6" s="6" t="s">
        <v>18</v>
      </c>
      <c r="B6" s="7" t="s">
        <v>9</v>
      </c>
      <c r="C6" s="7" t="s">
        <v>15</v>
      </c>
      <c r="D6">
        <f t="shared" si="0"/>
        <v>0.5</v>
      </c>
    </row>
    <row r="7" spans="1:13" ht="15.75" x14ac:dyDescent="0.25">
      <c r="A7" s="6" t="s">
        <v>19</v>
      </c>
      <c r="B7" s="7" t="s">
        <v>7</v>
      </c>
      <c r="C7" s="7" t="s">
        <v>15</v>
      </c>
      <c r="D7">
        <f t="shared" si="0"/>
        <v>1</v>
      </c>
      <c r="K7" t="s">
        <v>0</v>
      </c>
      <c r="L7" t="s">
        <v>7</v>
      </c>
      <c r="M7">
        <f>Score!E14</f>
        <v>1</v>
      </c>
    </row>
    <row r="8" spans="1:13" ht="15.75" x14ac:dyDescent="0.25">
      <c r="A8" s="6" t="s">
        <v>20</v>
      </c>
      <c r="B8" s="7" t="s">
        <v>7</v>
      </c>
      <c r="C8" s="7" t="s">
        <v>15</v>
      </c>
      <c r="D8">
        <f t="shared" si="0"/>
        <v>1</v>
      </c>
      <c r="K8" t="s">
        <v>1</v>
      </c>
      <c r="L8" t="s">
        <v>9</v>
      </c>
      <c r="M8">
        <f>Score!E15</f>
        <v>0.5</v>
      </c>
    </row>
    <row r="9" spans="1:13" ht="15.75" x14ac:dyDescent="0.25">
      <c r="A9" s="6" t="s">
        <v>21</v>
      </c>
      <c r="B9" s="7" t="s">
        <v>9</v>
      </c>
      <c r="C9" s="7" t="s">
        <v>15</v>
      </c>
      <c r="D9">
        <f t="shared" si="0"/>
        <v>0.5</v>
      </c>
      <c r="K9" t="s">
        <v>2</v>
      </c>
      <c r="L9" t="s">
        <v>8</v>
      </c>
      <c r="M9">
        <f>Score!E16</f>
        <v>0.1</v>
      </c>
    </row>
    <row r="10" spans="1:13" ht="15.75" x14ac:dyDescent="0.25">
      <c r="A10" s="6" t="s">
        <v>22</v>
      </c>
      <c r="B10" s="7" t="s">
        <v>9</v>
      </c>
      <c r="C10" s="7" t="s">
        <v>73</v>
      </c>
      <c r="D10">
        <f t="shared" si="0"/>
        <v>0.25</v>
      </c>
    </row>
    <row r="11" spans="1:13" ht="15.75" x14ac:dyDescent="0.25">
      <c r="A11" s="6" t="s">
        <v>23</v>
      </c>
      <c r="B11" s="7" t="s">
        <v>9</v>
      </c>
      <c r="C11" s="7" t="s">
        <v>73</v>
      </c>
      <c r="D11">
        <f t="shared" si="0"/>
        <v>0.25</v>
      </c>
      <c r="K11" t="s">
        <v>3</v>
      </c>
      <c r="L11" t="s">
        <v>15</v>
      </c>
      <c r="M11">
        <f>Score!E18</f>
        <v>1</v>
      </c>
    </row>
    <row r="12" spans="1:13" ht="15.75" x14ac:dyDescent="0.25">
      <c r="A12" s="6" t="s">
        <v>24</v>
      </c>
      <c r="B12" s="7" t="s">
        <v>7</v>
      </c>
      <c r="C12" s="7" t="s">
        <v>15</v>
      </c>
      <c r="D12">
        <f t="shared" ref="D12:D19" si="1">VLOOKUP(B12,$L$7:$M$9,2,FALSE)*VLOOKUP(C12,$L$11:$M$13,2,FALSE)</f>
        <v>1</v>
      </c>
      <c r="K12" t="s">
        <v>65</v>
      </c>
      <c r="L12" t="s">
        <v>73</v>
      </c>
      <c r="M12">
        <f>Score!E19</f>
        <v>0.5</v>
      </c>
    </row>
    <row r="13" spans="1:13" ht="15.75" x14ac:dyDescent="0.25">
      <c r="A13" s="6" t="s">
        <v>25</v>
      </c>
      <c r="B13" s="7" t="s">
        <v>7</v>
      </c>
      <c r="C13" s="7" t="s">
        <v>73</v>
      </c>
      <c r="D13">
        <f t="shared" si="1"/>
        <v>0.5</v>
      </c>
      <c r="K13" t="s">
        <v>4</v>
      </c>
      <c r="L13" t="s">
        <v>16</v>
      </c>
      <c r="M13">
        <f>Score!E20</f>
        <v>0.1</v>
      </c>
    </row>
    <row r="14" spans="1:13" ht="15.75" x14ac:dyDescent="0.25">
      <c r="A14" s="6" t="s">
        <v>26</v>
      </c>
      <c r="B14" s="7" t="s">
        <v>7</v>
      </c>
      <c r="C14" s="7" t="s">
        <v>73</v>
      </c>
      <c r="D14">
        <f t="shared" si="1"/>
        <v>0.5</v>
      </c>
    </row>
    <row r="15" spans="1:13" ht="15.75" x14ac:dyDescent="0.25">
      <c r="A15" s="6" t="s">
        <v>27</v>
      </c>
      <c r="B15" s="7" t="s">
        <v>7</v>
      </c>
      <c r="C15" s="7" t="s">
        <v>73</v>
      </c>
      <c r="D15">
        <f t="shared" si="1"/>
        <v>0.5</v>
      </c>
    </row>
    <row r="16" spans="1:13" ht="15.75" x14ac:dyDescent="0.25">
      <c r="A16" s="6" t="s">
        <v>28</v>
      </c>
      <c r="B16" s="7" t="s">
        <v>9</v>
      </c>
      <c r="C16" s="7" t="s">
        <v>73</v>
      </c>
      <c r="D16">
        <f t="shared" si="1"/>
        <v>0.25</v>
      </c>
    </row>
    <row r="17" spans="1:5" ht="15.75" x14ac:dyDescent="0.25">
      <c r="A17" s="6" t="s">
        <v>10</v>
      </c>
      <c r="B17" s="7" t="s">
        <v>8</v>
      </c>
      <c r="C17" s="7" t="s">
        <v>16</v>
      </c>
      <c r="D17">
        <f t="shared" si="1"/>
        <v>1.0000000000000002E-2</v>
      </c>
      <c r="E17" t="s">
        <v>36</v>
      </c>
    </row>
    <row r="18" spans="1:5" ht="15.75" x14ac:dyDescent="0.25">
      <c r="A18" s="6" t="s">
        <v>11</v>
      </c>
      <c r="B18" s="7" t="s">
        <v>9</v>
      </c>
      <c r="C18" s="7" t="s">
        <v>15</v>
      </c>
      <c r="D18">
        <f t="shared" si="1"/>
        <v>0.5</v>
      </c>
    </row>
    <row r="19" spans="1:5" ht="15.75" x14ac:dyDescent="0.25">
      <c r="A19" s="6" t="s">
        <v>29</v>
      </c>
      <c r="B19" s="7" t="s">
        <v>8</v>
      </c>
      <c r="C19" s="7" t="s">
        <v>73</v>
      </c>
      <c r="D19">
        <f t="shared" si="1"/>
        <v>0.05</v>
      </c>
    </row>
    <row r="20" spans="1:5" x14ac:dyDescent="0.25">
      <c r="C20" s="10" t="s">
        <v>35</v>
      </c>
      <c r="D20" s="11">
        <f>SUM(D5:D19)</f>
        <v>6.8199999999999994</v>
      </c>
    </row>
  </sheetData>
  <conditionalFormatting sqref="B5:B19">
    <cfRule type="expression" dxfId="80" priority="4">
      <formula>B5="D"</formula>
    </cfRule>
    <cfRule type="expression" dxfId="79" priority="5">
      <formula>B5="I"</formula>
    </cfRule>
    <cfRule type="expression" dxfId="78" priority="6">
      <formula>B5="N"</formula>
    </cfRule>
  </conditionalFormatting>
  <conditionalFormatting sqref="C5:C19">
    <cfRule type="expression" dxfId="77" priority="2">
      <formula>C5="CD"</formula>
    </cfRule>
    <cfRule type="expression" dxfId="76" priority="3">
      <formula>C5="R"</formula>
    </cfRule>
  </conditionalFormatting>
  <conditionalFormatting sqref="C5:C20">
    <cfRule type="expression" dxfId="75" priority="1">
      <formula>C5="C"</formula>
    </cfRule>
  </conditionalFormatting>
  <conditionalFormatting sqref="D5:D19">
    <cfRule type="colorScale" priority="131">
      <colorScale>
        <cfvo type="min"/>
        <cfvo type="percentile" val="50"/>
        <cfvo type="max"/>
        <color rgb="FFF8696B"/>
        <color rgb="FFFFEB84"/>
        <color rgb="FF63BE7B"/>
      </colorScale>
    </cfRule>
  </conditionalFormatting>
  <conditionalFormatting sqref="E7:E9 C20">
    <cfRule type="expression" dxfId="74" priority="13">
      <formula>C7="S"</formula>
    </cfRule>
    <cfRule type="expression" dxfId="73" priority="14">
      <formula>C7="R"</formula>
    </cfRule>
  </conditionalFormatting>
  <conditionalFormatting sqref="E7:E9">
    <cfRule type="expression" dxfId="72" priority="12">
      <formula>E7="C"</formula>
    </cfRule>
  </conditionalFormatting>
  <dataValidations count="3">
    <dataValidation allowBlank="1" sqref="D5:D19" xr:uid="{E0848708-D016-4760-BD50-B930EC16AF8C}"/>
    <dataValidation type="list" allowBlank="1" sqref="B5:B19" xr:uid="{4EFF221B-688C-416E-951A-922543A4AD8E}">
      <formula1>$L$7:$L$9</formula1>
    </dataValidation>
    <dataValidation type="list" allowBlank="1" sqref="C5:C19" xr:uid="{6F15CB36-7D07-4E70-8922-7924E21AB8B7}">
      <formula1>$L$11:$L$13</formula1>
    </dataValidation>
  </dataValidations>
  <pageMargins left="0.75" right="0.75" top="1" bottom="1" header="0.5" footer="0.5"/>
  <pageSetup orientation="portrait"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2FAE-D906-479F-AE04-CE8BBF59C80A}">
  <dimension ref="A1:M20"/>
  <sheetViews>
    <sheetView zoomScale="115" zoomScaleNormal="115" workbookViewId="0">
      <selection activeCell="C5" sqref="C5:C19"/>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41</v>
      </c>
    </row>
    <row r="2" spans="1:13" s="1" customFormat="1" x14ac:dyDescent="0.25">
      <c r="B2" s="13" t="s">
        <v>40</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8</v>
      </c>
      <c r="C5" s="7" t="s">
        <v>16</v>
      </c>
      <c r="D5">
        <f>VLOOKUP(B5,$L$7:$M$9,2,FALSE)*VLOOKUP(C5,$L$11:$M$13,2,FALSE)</f>
        <v>1.0000000000000002E-2</v>
      </c>
    </row>
    <row r="6" spans="1:13" ht="15.75" x14ac:dyDescent="0.25">
      <c r="A6" s="6" t="s">
        <v>18</v>
      </c>
      <c r="B6" s="7" t="s">
        <v>7</v>
      </c>
      <c r="C6" s="7" t="s">
        <v>15</v>
      </c>
      <c r="D6">
        <f t="shared" ref="D6:D19" si="0">VLOOKUP(B6,$L$7:$M$9,2,FALSE)*VLOOKUP(C6,$L$11:$M$13,2,FALSE)</f>
        <v>1</v>
      </c>
    </row>
    <row r="7" spans="1:13" ht="15.75" x14ac:dyDescent="0.25">
      <c r="A7" s="6" t="s">
        <v>19</v>
      </c>
      <c r="B7" s="7" t="s">
        <v>7</v>
      </c>
      <c r="C7" s="7" t="s">
        <v>15</v>
      </c>
      <c r="D7">
        <f t="shared" si="0"/>
        <v>1</v>
      </c>
      <c r="K7" t="s">
        <v>0</v>
      </c>
      <c r="L7" t="s">
        <v>7</v>
      </c>
      <c r="M7">
        <f>Score!E14</f>
        <v>1</v>
      </c>
    </row>
    <row r="8" spans="1:13" ht="15.75" x14ac:dyDescent="0.25">
      <c r="A8" s="6" t="s">
        <v>20</v>
      </c>
      <c r="B8" s="7" t="s">
        <v>9</v>
      </c>
      <c r="C8" s="7" t="s">
        <v>15</v>
      </c>
      <c r="D8">
        <f t="shared" si="0"/>
        <v>0.5</v>
      </c>
      <c r="K8" t="s">
        <v>1</v>
      </c>
      <c r="L8" t="s">
        <v>9</v>
      </c>
      <c r="M8">
        <f>Score!E15</f>
        <v>0.5</v>
      </c>
    </row>
    <row r="9" spans="1:13" ht="15.75" x14ac:dyDescent="0.25">
      <c r="A9" s="6" t="s">
        <v>21</v>
      </c>
      <c r="B9" s="7" t="s">
        <v>7</v>
      </c>
      <c r="C9" s="7" t="s">
        <v>73</v>
      </c>
      <c r="D9">
        <f t="shared" si="0"/>
        <v>0.5</v>
      </c>
      <c r="K9" t="s">
        <v>2</v>
      </c>
      <c r="L9" t="s">
        <v>8</v>
      </c>
      <c r="M9">
        <f>Score!E16</f>
        <v>0.1</v>
      </c>
    </row>
    <row r="10" spans="1:13" ht="15.75" x14ac:dyDescent="0.25">
      <c r="A10" s="6" t="s">
        <v>22</v>
      </c>
      <c r="B10" s="7" t="s">
        <v>8</v>
      </c>
      <c r="C10" s="7" t="s">
        <v>16</v>
      </c>
      <c r="D10">
        <f t="shared" si="0"/>
        <v>1.0000000000000002E-2</v>
      </c>
    </row>
    <row r="11" spans="1:13" ht="15.75" x14ac:dyDescent="0.25">
      <c r="A11" s="6" t="s">
        <v>23</v>
      </c>
      <c r="B11" s="7" t="s">
        <v>9</v>
      </c>
      <c r="C11" s="7" t="s">
        <v>73</v>
      </c>
      <c r="D11">
        <f t="shared" si="0"/>
        <v>0.25</v>
      </c>
      <c r="K11" t="s">
        <v>3</v>
      </c>
      <c r="L11" t="s">
        <v>15</v>
      </c>
      <c r="M11">
        <f>Score!E18</f>
        <v>1</v>
      </c>
    </row>
    <row r="12" spans="1:13" ht="15.75" x14ac:dyDescent="0.25">
      <c r="A12" s="6" t="s">
        <v>24</v>
      </c>
      <c r="B12" s="7" t="s">
        <v>8</v>
      </c>
      <c r="C12" s="7" t="s">
        <v>16</v>
      </c>
      <c r="D12">
        <f t="shared" si="0"/>
        <v>1.0000000000000002E-2</v>
      </c>
      <c r="K12" t="s">
        <v>65</v>
      </c>
      <c r="L12" t="s">
        <v>73</v>
      </c>
      <c r="M12">
        <f>Score!E19</f>
        <v>0.5</v>
      </c>
    </row>
    <row r="13" spans="1:13" ht="15.75" x14ac:dyDescent="0.25">
      <c r="A13" s="6" t="s">
        <v>25</v>
      </c>
      <c r="B13" s="7" t="s">
        <v>7</v>
      </c>
      <c r="C13" s="7" t="s">
        <v>73</v>
      </c>
      <c r="D13">
        <f t="shared" si="0"/>
        <v>0.5</v>
      </c>
      <c r="K13" t="s">
        <v>4</v>
      </c>
      <c r="L13" t="s">
        <v>16</v>
      </c>
      <c r="M13">
        <f>Score!E20</f>
        <v>0.1</v>
      </c>
    </row>
    <row r="14" spans="1:13" ht="15.75" x14ac:dyDescent="0.25">
      <c r="A14" s="6" t="s">
        <v>26</v>
      </c>
      <c r="B14" s="7" t="s">
        <v>7</v>
      </c>
      <c r="C14" s="7" t="s">
        <v>73</v>
      </c>
      <c r="D14">
        <f t="shared" si="0"/>
        <v>0.5</v>
      </c>
    </row>
    <row r="15" spans="1:13" ht="15.75" x14ac:dyDescent="0.25">
      <c r="A15" s="6" t="s">
        <v>27</v>
      </c>
      <c r="B15" s="7" t="s">
        <v>9</v>
      </c>
      <c r="C15" s="7" t="s">
        <v>16</v>
      </c>
      <c r="D15">
        <f t="shared" si="0"/>
        <v>0.05</v>
      </c>
    </row>
    <row r="16" spans="1:13" ht="15.75" x14ac:dyDescent="0.25">
      <c r="A16" s="6" t="s">
        <v>28</v>
      </c>
      <c r="B16" s="7" t="s">
        <v>9</v>
      </c>
      <c r="C16" s="7" t="s">
        <v>73</v>
      </c>
      <c r="D16">
        <f t="shared" si="0"/>
        <v>0.25</v>
      </c>
    </row>
    <row r="17" spans="1:4" ht="15.75" x14ac:dyDescent="0.25">
      <c r="A17" s="6" t="s">
        <v>10</v>
      </c>
      <c r="B17" s="7" t="s">
        <v>8</v>
      </c>
      <c r="C17" s="7" t="s">
        <v>73</v>
      </c>
      <c r="D17">
        <f t="shared" si="0"/>
        <v>0.05</v>
      </c>
    </row>
    <row r="18" spans="1:4" ht="15.75" x14ac:dyDescent="0.25">
      <c r="A18" s="6" t="s">
        <v>11</v>
      </c>
      <c r="B18" s="7" t="s">
        <v>7</v>
      </c>
      <c r="C18" s="7" t="s">
        <v>15</v>
      </c>
      <c r="D18">
        <f t="shared" si="0"/>
        <v>1</v>
      </c>
    </row>
    <row r="19" spans="1:4" ht="15.75" x14ac:dyDescent="0.25">
      <c r="A19" s="6" t="s">
        <v>29</v>
      </c>
      <c r="B19" s="7" t="s">
        <v>9</v>
      </c>
      <c r="C19" s="7" t="s">
        <v>16</v>
      </c>
      <c r="D19">
        <f t="shared" si="0"/>
        <v>0.05</v>
      </c>
    </row>
    <row r="20" spans="1:4" x14ac:dyDescent="0.25">
      <c r="C20" s="10" t="s">
        <v>35</v>
      </c>
      <c r="D20" s="11">
        <f>SUM(D5:D19)</f>
        <v>5.6799999999999988</v>
      </c>
    </row>
  </sheetData>
  <conditionalFormatting sqref="B5:B19">
    <cfRule type="expression" dxfId="71" priority="4">
      <formula>B5="D"</formula>
    </cfRule>
    <cfRule type="expression" dxfId="70" priority="5">
      <formula>B5="I"</formula>
    </cfRule>
    <cfRule type="expression" dxfId="69" priority="6">
      <formula>B5="N"</formula>
    </cfRule>
  </conditionalFormatting>
  <conditionalFormatting sqref="C5:C19">
    <cfRule type="expression" dxfId="68" priority="2">
      <formula>C5="CD"</formula>
    </cfRule>
    <cfRule type="expression" dxfId="67" priority="3">
      <formula>C5="R"</formula>
    </cfRule>
  </conditionalFormatting>
  <conditionalFormatting sqref="C5:C20">
    <cfRule type="expression" dxfId="66" priority="1">
      <formula>C5="C"</formula>
    </cfRule>
  </conditionalFormatting>
  <conditionalFormatting sqref="D5:D19">
    <cfRule type="colorScale" priority="53">
      <colorScale>
        <cfvo type="min"/>
        <cfvo type="percentile" val="50"/>
        <cfvo type="max"/>
        <color rgb="FFF8696B"/>
        <color rgb="FFFFEB84"/>
        <color rgb="FF63BE7B"/>
      </colorScale>
    </cfRule>
  </conditionalFormatting>
  <conditionalFormatting sqref="E7:E9 C20">
    <cfRule type="expression" dxfId="65" priority="9">
      <formula>C7="S"</formula>
    </cfRule>
    <cfRule type="expression" dxfId="64" priority="10">
      <formula>C7="R"</formula>
    </cfRule>
  </conditionalFormatting>
  <conditionalFormatting sqref="E7:E9">
    <cfRule type="expression" dxfId="63" priority="8">
      <formula>E7="C"</formula>
    </cfRule>
  </conditionalFormatting>
  <dataValidations count="3">
    <dataValidation type="list" allowBlank="1" sqref="C5:C19" xr:uid="{A1716365-30BE-4951-9232-48591137498E}">
      <formula1>$L$11:$L$13</formula1>
    </dataValidation>
    <dataValidation type="list" allowBlank="1" sqref="B5:B19" xr:uid="{E43BAFB3-C492-4727-9CF6-215AA6130230}">
      <formula1>$L$7:$L$9</formula1>
    </dataValidation>
    <dataValidation allowBlank="1" sqref="D5:D19" xr:uid="{8814377D-7E40-43AF-B0F3-0583AC3FFBB5}"/>
  </dataValidations>
  <pageMargins left="0.75" right="0.75" top="1" bottom="1" header="0.5" footer="0.5"/>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BE5D6-2ACD-4704-80E4-9662F5C622C9}">
  <dimension ref="A1:M20"/>
  <sheetViews>
    <sheetView zoomScale="115" zoomScaleNormal="115" workbookViewId="0">
      <selection activeCell="F12" sqref="F12"/>
    </sheetView>
  </sheetViews>
  <sheetFormatPr defaultRowHeight="15" x14ac:dyDescent="0.25"/>
  <cols>
    <col min="1" max="1" width="55.85546875" bestFit="1" customWidth="1"/>
    <col min="2" max="2" width="14.85546875" customWidth="1"/>
    <col min="3" max="3" width="14.28515625" customWidth="1"/>
    <col min="4" max="4" width="13.85546875" customWidth="1"/>
    <col min="11" max="11" width="24" bestFit="1" customWidth="1"/>
  </cols>
  <sheetData>
    <row r="1" spans="1:13" ht="18.75" x14ac:dyDescent="0.3">
      <c r="A1" s="3" t="s">
        <v>64</v>
      </c>
    </row>
    <row r="2" spans="1:13" s="1" customFormat="1" ht="30" x14ac:dyDescent="0.25">
      <c r="B2" s="8" t="s">
        <v>31</v>
      </c>
      <c r="C2" s="9"/>
      <c r="D2" s="9"/>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7</v>
      </c>
      <c r="C5" s="7" t="s">
        <v>15</v>
      </c>
      <c r="D5">
        <f t="shared" ref="D5:D19" si="0">VLOOKUP(B5,$L$7:$M$9,2,FALSE)*VLOOKUP(C5,$L$11:$M$13,2,FALSE)</f>
        <v>1</v>
      </c>
    </row>
    <row r="6" spans="1:13" ht="15.75" x14ac:dyDescent="0.25">
      <c r="A6" s="6" t="s">
        <v>18</v>
      </c>
      <c r="B6" s="7" t="s">
        <v>9</v>
      </c>
      <c r="C6" s="7" t="s">
        <v>16</v>
      </c>
      <c r="D6">
        <f t="shared" si="0"/>
        <v>0.05</v>
      </c>
    </row>
    <row r="7" spans="1:13" ht="15.75" x14ac:dyDescent="0.25">
      <c r="A7" s="6" t="s">
        <v>19</v>
      </c>
      <c r="B7" s="7" t="s">
        <v>9</v>
      </c>
      <c r="C7" s="7" t="s">
        <v>73</v>
      </c>
      <c r="D7">
        <f t="shared" si="0"/>
        <v>0.25</v>
      </c>
      <c r="K7" t="s">
        <v>0</v>
      </c>
      <c r="L7" t="s">
        <v>7</v>
      </c>
      <c r="M7">
        <f>Score!E14</f>
        <v>1</v>
      </c>
    </row>
    <row r="8" spans="1:13" ht="15.75" x14ac:dyDescent="0.25">
      <c r="A8" s="6" t="s">
        <v>20</v>
      </c>
      <c r="B8" s="7" t="s">
        <v>9</v>
      </c>
      <c r="C8" s="7" t="s">
        <v>16</v>
      </c>
      <c r="D8">
        <f t="shared" si="0"/>
        <v>0.05</v>
      </c>
      <c r="K8" t="s">
        <v>1</v>
      </c>
      <c r="L8" t="s">
        <v>9</v>
      </c>
      <c r="M8">
        <f>Score!E15</f>
        <v>0.5</v>
      </c>
    </row>
    <row r="9" spans="1:13" ht="15.75" x14ac:dyDescent="0.25">
      <c r="A9" s="6" t="s">
        <v>21</v>
      </c>
      <c r="B9" s="7" t="s">
        <v>9</v>
      </c>
      <c r="C9" s="7" t="s">
        <v>73</v>
      </c>
      <c r="D9">
        <f t="shared" si="0"/>
        <v>0.25</v>
      </c>
      <c r="K9" t="s">
        <v>2</v>
      </c>
      <c r="L9" t="s">
        <v>8</v>
      </c>
      <c r="M9">
        <f>Score!E16</f>
        <v>0.1</v>
      </c>
    </row>
    <row r="10" spans="1:13" ht="15.75" x14ac:dyDescent="0.25">
      <c r="A10" s="6" t="s">
        <v>22</v>
      </c>
      <c r="B10" s="7" t="s">
        <v>8</v>
      </c>
      <c r="C10" s="7" t="s">
        <v>16</v>
      </c>
      <c r="D10">
        <f t="shared" si="0"/>
        <v>1.0000000000000002E-2</v>
      </c>
    </row>
    <row r="11" spans="1:13" ht="15.75" x14ac:dyDescent="0.25">
      <c r="A11" s="6" t="s">
        <v>23</v>
      </c>
      <c r="B11" s="7" t="s">
        <v>9</v>
      </c>
      <c r="C11" s="7" t="s">
        <v>16</v>
      </c>
      <c r="D11">
        <f t="shared" si="0"/>
        <v>0.05</v>
      </c>
      <c r="K11" t="s">
        <v>3</v>
      </c>
      <c r="L11" t="s">
        <v>15</v>
      </c>
      <c r="M11">
        <f>Score!E18</f>
        <v>1</v>
      </c>
    </row>
    <row r="12" spans="1:13" ht="15.75" x14ac:dyDescent="0.25">
      <c r="A12" s="6" t="s">
        <v>24</v>
      </c>
      <c r="B12" s="7" t="s">
        <v>9</v>
      </c>
      <c r="C12" s="7" t="s">
        <v>16</v>
      </c>
      <c r="D12">
        <f t="shared" si="0"/>
        <v>0.05</v>
      </c>
      <c r="K12" t="s">
        <v>65</v>
      </c>
      <c r="L12" t="s">
        <v>73</v>
      </c>
      <c r="M12">
        <f>Score!E19</f>
        <v>0.5</v>
      </c>
    </row>
    <row r="13" spans="1:13" ht="15.75" x14ac:dyDescent="0.25">
      <c r="A13" s="6" t="s">
        <v>25</v>
      </c>
      <c r="B13" s="7" t="s">
        <v>9</v>
      </c>
      <c r="C13" s="7" t="s">
        <v>73</v>
      </c>
      <c r="D13">
        <f t="shared" si="0"/>
        <v>0.25</v>
      </c>
      <c r="K13" t="s">
        <v>4</v>
      </c>
      <c r="L13" t="s">
        <v>16</v>
      </c>
      <c r="M13">
        <f>Score!E20</f>
        <v>0.1</v>
      </c>
    </row>
    <row r="14" spans="1:13" ht="15.75" x14ac:dyDescent="0.25">
      <c r="A14" s="6" t="s">
        <v>26</v>
      </c>
      <c r="B14" s="7" t="s">
        <v>9</v>
      </c>
      <c r="C14" s="7" t="s">
        <v>16</v>
      </c>
      <c r="D14">
        <f t="shared" si="0"/>
        <v>0.05</v>
      </c>
    </row>
    <row r="15" spans="1:13" ht="15.75" x14ac:dyDescent="0.25">
      <c r="A15" s="6" t="s">
        <v>27</v>
      </c>
      <c r="B15" s="7" t="s">
        <v>8</v>
      </c>
      <c r="C15" s="7" t="s">
        <v>16</v>
      </c>
      <c r="D15">
        <f t="shared" si="0"/>
        <v>1.0000000000000002E-2</v>
      </c>
    </row>
    <row r="16" spans="1:13" ht="15.75" x14ac:dyDescent="0.25">
      <c r="A16" s="6" t="s">
        <v>28</v>
      </c>
      <c r="B16" s="7" t="s">
        <v>9</v>
      </c>
      <c r="C16" s="7" t="s">
        <v>73</v>
      </c>
      <c r="D16">
        <f t="shared" si="0"/>
        <v>0.25</v>
      </c>
    </row>
    <row r="17" spans="1:4" ht="15.75" x14ac:dyDescent="0.25">
      <c r="A17" s="6" t="s">
        <v>10</v>
      </c>
      <c r="B17" s="7" t="s">
        <v>9</v>
      </c>
      <c r="C17" s="7" t="s">
        <v>16</v>
      </c>
      <c r="D17">
        <f t="shared" si="0"/>
        <v>0.05</v>
      </c>
    </row>
    <row r="18" spans="1:4" ht="15.75" x14ac:dyDescent="0.25">
      <c r="A18" s="6" t="s">
        <v>11</v>
      </c>
      <c r="B18" s="7" t="s">
        <v>8</v>
      </c>
      <c r="C18" s="7" t="s">
        <v>16</v>
      </c>
      <c r="D18">
        <f t="shared" si="0"/>
        <v>1.0000000000000002E-2</v>
      </c>
    </row>
    <row r="19" spans="1:4" ht="15.75" x14ac:dyDescent="0.25">
      <c r="A19" s="6" t="s">
        <v>29</v>
      </c>
      <c r="B19" s="7" t="s">
        <v>9</v>
      </c>
      <c r="C19" s="7" t="s">
        <v>16</v>
      </c>
      <c r="D19">
        <f t="shared" si="0"/>
        <v>0.05</v>
      </c>
    </row>
    <row r="20" spans="1:4" x14ac:dyDescent="0.25">
      <c r="C20" s="10" t="s">
        <v>35</v>
      </c>
      <c r="D20" s="11">
        <f>SUM(D5:D19)</f>
        <v>2.3799999999999994</v>
      </c>
    </row>
  </sheetData>
  <conditionalFormatting sqref="B5:B19">
    <cfRule type="expression" dxfId="62" priority="7">
      <formula>B5="D"</formula>
    </cfRule>
    <cfRule type="expression" dxfId="61" priority="8">
      <formula>B5="I"</formula>
    </cfRule>
    <cfRule type="expression" dxfId="60" priority="9">
      <formula>B5="N"</formula>
    </cfRule>
  </conditionalFormatting>
  <conditionalFormatting sqref="C5:C19">
    <cfRule type="expression" dxfId="59" priority="2">
      <formula>C5="CD"</formula>
    </cfRule>
    <cfRule type="expression" dxfId="58" priority="3">
      <formula>C5="R"</formula>
    </cfRule>
  </conditionalFormatting>
  <conditionalFormatting sqref="C5:C20">
    <cfRule type="expression" dxfId="57" priority="1">
      <formula>C5="C"</formula>
    </cfRule>
  </conditionalFormatting>
  <conditionalFormatting sqref="D5:D19">
    <cfRule type="colorScale" priority="144">
      <colorScale>
        <cfvo type="min"/>
        <cfvo type="percentile" val="50"/>
        <cfvo type="max"/>
        <color rgb="FFF8696B"/>
        <color rgb="FFFFEB84"/>
        <color rgb="FF63BE7B"/>
      </colorScale>
    </cfRule>
  </conditionalFormatting>
  <conditionalFormatting sqref="E7:E9 C20">
    <cfRule type="expression" dxfId="56" priority="13">
      <formula>C7="S"</formula>
    </cfRule>
    <cfRule type="expression" dxfId="55" priority="14">
      <formula>C7="R"</formula>
    </cfRule>
  </conditionalFormatting>
  <conditionalFormatting sqref="E7:E9">
    <cfRule type="expression" dxfId="54" priority="12">
      <formula>E7="C"</formula>
    </cfRule>
  </conditionalFormatting>
  <dataValidations count="3">
    <dataValidation type="list" allowBlank="1" sqref="C5:C19" xr:uid="{E9B481DA-95E8-4DA2-BF56-BC6A894B43F6}">
      <formula1>$L$11:$L$13</formula1>
    </dataValidation>
    <dataValidation type="list" allowBlank="1" sqref="B5:B19" xr:uid="{BAFF62EB-762C-47AB-9FA9-6E3312A82732}">
      <formula1>$L$7:$L$9</formula1>
    </dataValidation>
    <dataValidation allowBlank="1" sqref="D5:D19" xr:uid="{AC361FF6-1813-42A0-A29F-2E8E0E956DDA}"/>
  </dataValidations>
  <pageMargins left="0.75" right="0.75" top="1" bottom="1" header="0.5" footer="0.5"/>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10D-BC99-4B5E-AA85-261CE1E345D9}">
  <dimension ref="A1:M20"/>
  <sheetViews>
    <sheetView zoomScale="115" zoomScaleNormal="115" workbookViewId="0">
      <selection activeCell="C5" sqref="C5:C19"/>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41</v>
      </c>
    </row>
    <row r="2" spans="1:13" s="1" customFormat="1" x14ac:dyDescent="0.25">
      <c r="B2" s="13" t="s">
        <v>37</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9</v>
      </c>
      <c r="C5" s="7" t="s">
        <v>73</v>
      </c>
      <c r="D5">
        <f t="shared" ref="D5:D19" si="0">VLOOKUP(B5,$L$7:$M$9,2,FALSE)*VLOOKUP(C5,$L$11:$M$13,2,FALSE)</f>
        <v>0.25</v>
      </c>
    </row>
    <row r="6" spans="1:13" ht="15.75" x14ac:dyDescent="0.25">
      <c r="A6" s="6" t="s">
        <v>18</v>
      </c>
      <c r="B6" s="7" t="s">
        <v>9</v>
      </c>
      <c r="C6" s="7" t="s">
        <v>73</v>
      </c>
      <c r="D6">
        <f t="shared" si="0"/>
        <v>0.25</v>
      </c>
    </row>
    <row r="7" spans="1:13" ht="15.75" x14ac:dyDescent="0.25">
      <c r="A7" s="6" t="s">
        <v>19</v>
      </c>
      <c r="B7" s="7" t="s">
        <v>9</v>
      </c>
      <c r="C7" s="7" t="s">
        <v>73</v>
      </c>
      <c r="D7">
        <f t="shared" si="0"/>
        <v>0.25</v>
      </c>
      <c r="K7" t="s">
        <v>0</v>
      </c>
      <c r="L7" t="s">
        <v>7</v>
      </c>
      <c r="M7">
        <f>Score!E14</f>
        <v>1</v>
      </c>
    </row>
    <row r="8" spans="1:13" ht="15.75" x14ac:dyDescent="0.25">
      <c r="A8" s="6" t="s">
        <v>20</v>
      </c>
      <c r="B8" s="7" t="s">
        <v>7</v>
      </c>
      <c r="C8" s="7" t="s">
        <v>73</v>
      </c>
      <c r="D8">
        <f t="shared" si="0"/>
        <v>0.5</v>
      </c>
      <c r="K8" t="s">
        <v>1</v>
      </c>
      <c r="L8" t="s">
        <v>9</v>
      </c>
      <c r="M8">
        <f>Score!E15</f>
        <v>0.5</v>
      </c>
    </row>
    <row r="9" spans="1:13" ht="15.75" x14ac:dyDescent="0.25">
      <c r="A9" s="6" t="s">
        <v>21</v>
      </c>
      <c r="B9" s="7" t="s">
        <v>8</v>
      </c>
      <c r="C9" s="7" t="s">
        <v>16</v>
      </c>
      <c r="D9">
        <f t="shared" si="0"/>
        <v>1.0000000000000002E-2</v>
      </c>
      <c r="K9" t="s">
        <v>2</v>
      </c>
      <c r="L9" t="s">
        <v>8</v>
      </c>
      <c r="M9">
        <f>Score!E16</f>
        <v>0.1</v>
      </c>
    </row>
    <row r="10" spans="1:13" ht="15.75" x14ac:dyDescent="0.25">
      <c r="A10" s="6" t="s">
        <v>22</v>
      </c>
      <c r="B10" s="7" t="s">
        <v>7</v>
      </c>
      <c r="C10" s="7" t="s">
        <v>15</v>
      </c>
      <c r="D10">
        <f t="shared" si="0"/>
        <v>1</v>
      </c>
    </row>
    <row r="11" spans="1:13" ht="15.75" x14ac:dyDescent="0.25">
      <c r="A11" s="6" t="s">
        <v>23</v>
      </c>
      <c r="B11" s="7" t="s">
        <v>7</v>
      </c>
      <c r="C11" s="7" t="s">
        <v>73</v>
      </c>
      <c r="D11">
        <f t="shared" si="0"/>
        <v>0.5</v>
      </c>
      <c r="K11" t="s">
        <v>3</v>
      </c>
      <c r="L11" t="s">
        <v>15</v>
      </c>
      <c r="M11">
        <f>Score!E18</f>
        <v>1</v>
      </c>
    </row>
    <row r="12" spans="1:13" ht="15.75" x14ac:dyDescent="0.25">
      <c r="A12" s="6" t="s">
        <v>24</v>
      </c>
      <c r="B12" s="7" t="s">
        <v>8</v>
      </c>
      <c r="C12" s="7" t="s">
        <v>16</v>
      </c>
      <c r="D12">
        <f t="shared" si="0"/>
        <v>1.0000000000000002E-2</v>
      </c>
      <c r="K12" t="s">
        <v>65</v>
      </c>
      <c r="L12" t="s">
        <v>73</v>
      </c>
      <c r="M12">
        <f>Score!E19</f>
        <v>0.5</v>
      </c>
    </row>
    <row r="13" spans="1:13" ht="15.75" x14ac:dyDescent="0.25">
      <c r="A13" s="6" t="s">
        <v>25</v>
      </c>
      <c r="B13" s="7" t="s">
        <v>8</v>
      </c>
      <c r="C13" s="7" t="s">
        <v>16</v>
      </c>
      <c r="D13">
        <f t="shared" si="0"/>
        <v>1.0000000000000002E-2</v>
      </c>
      <c r="K13" t="s">
        <v>4</v>
      </c>
      <c r="L13" t="s">
        <v>16</v>
      </c>
      <c r="M13">
        <f>Score!E20</f>
        <v>0.1</v>
      </c>
    </row>
    <row r="14" spans="1:13" ht="15.75" x14ac:dyDescent="0.25">
      <c r="A14" s="6" t="s">
        <v>26</v>
      </c>
      <c r="B14" s="7" t="s">
        <v>7</v>
      </c>
      <c r="C14" s="7" t="s">
        <v>15</v>
      </c>
      <c r="D14">
        <f t="shared" si="0"/>
        <v>1</v>
      </c>
    </row>
    <row r="15" spans="1:13" ht="15.75" x14ac:dyDescent="0.25">
      <c r="A15" s="6" t="s">
        <v>27</v>
      </c>
      <c r="B15" s="7" t="s">
        <v>8</v>
      </c>
      <c r="C15" s="7" t="s">
        <v>16</v>
      </c>
      <c r="D15">
        <f t="shared" si="0"/>
        <v>1.0000000000000002E-2</v>
      </c>
    </row>
    <row r="16" spans="1:13" ht="15.75" x14ac:dyDescent="0.25">
      <c r="A16" s="6" t="s">
        <v>28</v>
      </c>
      <c r="B16" s="7" t="s">
        <v>7</v>
      </c>
      <c r="C16" s="7" t="s">
        <v>73</v>
      </c>
      <c r="D16">
        <f t="shared" si="0"/>
        <v>0.5</v>
      </c>
    </row>
    <row r="17" spans="1:4" ht="15.75" x14ac:dyDescent="0.25">
      <c r="A17" s="6" t="s">
        <v>10</v>
      </c>
      <c r="B17" s="7" t="s">
        <v>8</v>
      </c>
      <c r="C17" s="7" t="s">
        <v>16</v>
      </c>
      <c r="D17">
        <f t="shared" si="0"/>
        <v>1.0000000000000002E-2</v>
      </c>
    </row>
    <row r="18" spans="1:4" ht="15.75" x14ac:dyDescent="0.25">
      <c r="A18" s="6" t="s">
        <v>11</v>
      </c>
      <c r="B18" s="7" t="s">
        <v>8</v>
      </c>
      <c r="C18" s="7" t="s">
        <v>16</v>
      </c>
      <c r="D18">
        <f t="shared" si="0"/>
        <v>1.0000000000000002E-2</v>
      </c>
    </row>
    <row r="19" spans="1:4" ht="15.75" x14ac:dyDescent="0.25">
      <c r="A19" s="6" t="s">
        <v>29</v>
      </c>
      <c r="B19" s="7" t="s">
        <v>8</v>
      </c>
      <c r="C19" s="7" t="s">
        <v>16</v>
      </c>
      <c r="D19">
        <f t="shared" si="0"/>
        <v>1.0000000000000002E-2</v>
      </c>
    </row>
    <row r="20" spans="1:4" x14ac:dyDescent="0.25">
      <c r="C20" s="10" t="s">
        <v>35</v>
      </c>
      <c r="D20" s="11">
        <f>SUM(D5:D19)</f>
        <v>4.3199999999999985</v>
      </c>
    </row>
  </sheetData>
  <conditionalFormatting sqref="B5:B19">
    <cfRule type="expression" dxfId="53" priority="4">
      <formula>B5="D"</formula>
    </cfRule>
    <cfRule type="expression" dxfId="52" priority="5">
      <formula>B5="I"</formula>
    </cfRule>
    <cfRule type="expression" dxfId="51" priority="6">
      <formula>B5="N"</formula>
    </cfRule>
  </conditionalFormatting>
  <conditionalFormatting sqref="C5:C19">
    <cfRule type="expression" dxfId="50" priority="2">
      <formula>C5="CD"</formula>
    </cfRule>
    <cfRule type="expression" dxfId="49" priority="3">
      <formula>C5="R"</formula>
    </cfRule>
  </conditionalFormatting>
  <conditionalFormatting sqref="C5:C20">
    <cfRule type="expression" dxfId="48" priority="1">
      <formula>C5="C"</formula>
    </cfRule>
  </conditionalFormatting>
  <conditionalFormatting sqref="D5:D19">
    <cfRule type="colorScale" priority="66">
      <colorScale>
        <cfvo type="min"/>
        <cfvo type="percentile" val="50"/>
        <cfvo type="max"/>
        <color rgb="FFF8696B"/>
        <color rgb="FFFFEB84"/>
        <color rgb="FF63BE7B"/>
      </colorScale>
    </cfRule>
  </conditionalFormatting>
  <conditionalFormatting sqref="E7:E9 C20">
    <cfRule type="expression" dxfId="47" priority="9">
      <formula>C7="S"</formula>
    </cfRule>
    <cfRule type="expression" dxfId="46" priority="10">
      <formula>C7="R"</formula>
    </cfRule>
  </conditionalFormatting>
  <conditionalFormatting sqref="E7:E9">
    <cfRule type="expression" dxfId="45" priority="8">
      <formula>E7="C"</formula>
    </cfRule>
  </conditionalFormatting>
  <dataValidations count="3">
    <dataValidation allowBlank="1" sqref="D5:D19" xr:uid="{7321C868-13AF-4CB9-87F1-FA86C797C7CF}"/>
    <dataValidation type="list" allowBlank="1" sqref="B5:B19" xr:uid="{732B721B-CC6D-4F8A-AA1B-37A412C3270F}">
      <formula1>$L$7:$L$9</formula1>
    </dataValidation>
    <dataValidation type="list" allowBlank="1" sqref="C5:C19" xr:uid="{91D57B9C-9D62-46DC-867A-A9E114913459}">
      <formula1>$L$11:$L$13</formula1>
    </dataValidation>
  </dataValidations>
  <pageMargins left="0.75" right="0.75" top="1" bottom="1" header="0.5" footer="0.5"/>
  <pageSetup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8322F-0840-487B-BD0E-4F186141D9B7}">
  <dimension ref="A1:M20"/>
  <sheetViews>
    <sheetView zoomScale="115" zoomScaleNormal="115" workbookViewId="0">
      <selection activeCell="C5" sqref="C5:C19"/>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41</v>
      </c>
    </row>
    <row r="2" spans="1:13" s="1" customFormat="1" x14ac:dyDescent="0.25">
      <c r="B2" s="13" t="s">
        <v>42</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8</v>
      </c>
      <c r="C5" s="7" t="s">
        <v>16</v>
      </c>
      <c r="D5">
        <f t="shared" ref="D5:D19" si="0">VLOOKUP(B5,$L$7:$M$9,2,FALSE)*VLOOKUP(C5,$L$11:$M$13,2,FALSE)</f>
        <v>1.0000000000000002E-2</v>
      </c>
    </row>
    <row r="6" spans="1:13" ht="15.75" x14ac:dyDescent="0.25">
      <c r="A6" s="6" t="s">
        <v>18</v>
      </c>
      <c r="B6" s="7" t="s">
        <v>8</v>
      </c>
      <c r="C6" s="7" t="s">
        <v>16</v>
      </c>
      <c r="D6">
        <f t="shared" si="0"/>
        <v>1.0000000000000002E-2</v>
      </c>
    </row>
    <row r="7" spans="1:13" ht="15.75" x14ac:dyDescent="0.25">
      <c r="A7" s="6" t="s">
        <v>19</v>
      </c>
      <c r="B7" s="7" t="s">
        <v>8</v>
      </c>
      <c r="C7" s="7" t="s">
        <v>73</v>
      </c>
      <c r="D7">
        <f t="shared" si="0"/>
        <v>0.05</v>
      </c>
      <c r="K7" t="s">
        <v>0</v>
      </c>
      <c r="L7" t="s">
        <v>7</v>
      </c>
      <c r="M7">
        <f>Score!E14</f>
        <v>1</v>
      </c>
    </row>
    <row r="8" spans="1:13" ht="15.75" x14ac:dyDescent="0.25">
      <c r="A8" s="6" t="s">
        <v>20</v>
      </c>
      <c r="B8" s="7" t="s">
        <v>9</v>
      </c>
      <c r="C8" s="7" t="s">
        <v>73</v>
      </c>
      <c r="D8">
        <f t="shared" si="0"/>
        <v>0.25</v>
      </c>
      <c r="K8" t="s">
        <v>1</v>
      </c>
      <c r="L8" t="s">
        <v>9</v>
      </c>
      <c r="M8">
        <f>Score!E15</f>
        <v>0.5</v>
      </c>
    </row>
    <row r="9" spans="1:13" ht="15.75" x14ac:dyDescent="0.25">
      <c r="A9" s="6" t="s">
        <v>21</v>
      </c>
      <c r="B9" s="7" t="s">
        <v>8</v>
      </c>
      <c r="C9" s="7" t="s">
        <v>16</v>
      </c>
      <c r="D9">
        <f t="shared" si="0"/>
        <v>1.0000000000000002E-2</v>
      </c>
      <c r="K9" t="s">
        <v>2</v>
      </c>
      <c r="L9" t="s">
        <v>8</v>
      </c>
      <c r="M9">
        <f>Score!E16</f>
        <v>0.1</v>
      </c>
    </row>
    <row r="10" spans="1:13" ht="15.75" x14ac:dyDescent="0.25">
      <c r="A10" s="6" t="s">
        <v>22</v>
      </c>
      <c r="B10" s="7" t="s">
        <v>9</v>
      </c>
      <c r="C10" s="7" t="s">
        <v>16</v>
      </c>
      <c r="D10">
        <f t="shared" si="0"/>
        <v>0.05</v>
      </c>
    </row>
    <row r="11" spans="1:13" ht="15.75" x14ac:dyDescent="0.25">
      <c r="A11" s="6" t="s">
        <v>23</v>
      </c>
      <c r="B11" s="7" t="s">
        <v>8</v>
      </c>
      <c r="C11" s="7" t="s">
        <v>16</v>
      </c>
      <c r="D11">
        <f t="shared" si="0"/>
        <v>1.0000000000000002E-2</v>
      </c>
      <c r="K11" t="s">
        <v>3</v>
      </c>
      <c r="L11" t="s">
        <v>15</v>
      </c>
      <c r="M11">
        <f>Score!E18</f>
        <v>1</v>
      </c>
    </row>
    <row r="12" spans="1:13" ht="15.75" x14ac:dyDescent="0.25">
      <c r="A12" s="6" t="s">
        <v>24</v>
      </c>
      <c r="B12" s="7" t="s">
        <v>8</v>
      </c>
      <c r="C12" s="7" t="s">
        <v>16</v>
      </c>
      <c r="D12">
        <f t="shared" si="0"/>
        <v>1.0000000000000002E-2</v>
      </c>
      <c r="K12" t="s">
        <v>65</v>
      </c>
      <c r="L12" t="s">
        <v>73</v>
      </c>
      <c r="M12">
        <f>Score!E19</f>
        <v>0.5</v>
      </c>
    </row>
    <row r="13" spans="1:13" ht="15.75" x14ac:dyDescent="0.25">
      <c r="A13" s="6" t="s">
        <v>25</v>
      </c>
      <c r="B13" s="7" t="s">
        <v>8</v>
      </c>
      <c r="C13" s="7" t="s">
        <v>16</v>
      </c>
      <c r="D13">
        <f t="shared" si="0"/>
        <v>1.0000000000000002E-2</v>
      </c>
      <c r="K13" t="s">
        <v>4</v>
      </c>
      <c r="L13" t="s">
        <v>16</v>
      </c>
      <c r="M13">
        <f>Score!E20</f>
        <v>0.1</v>
      </c>
    </row>
    <row r="14" spans="1:13" ht="15.75" x14ac:dyDescent="0.25">
      <c r="A14" s="6" t="s">
        <v>26</v>
      </c>
      <c r="B14" s="7" t="s">
        <v>7</v>
      </c>
      <c r="C14" s="7" t="s">
        <v>15</v>
      </c>
      <c r="D14">
        <f t="shared" si="0"/>
        <v>1</v>
      </c>
    </row>
    <row r="15" spans="1:13" ht="15.75" x14ac:dyDescent="0.25">
      <c r="A15" s="6" t="s">
        <v>27</v>
      </c>
      <c r="B15" s="7" t="s">
        <v>7</v>
      </c>
      <c r="C15" s="7" t="s">
        <v>15</v>
      </c>
      <c r="D15">
        <f t="shared" si="0"/>
        <v>1</v>
      </c>
    </row>
    <row r="16" spans="1:13" ht="15.75" x14ac:dyDescent="0.25">
      <c r="A16" s="6" t="s">
        <v>28</v>
      </c>
      <c r="B16" s="7" t="s">
        <v>8</v>
      </c>
      <c r="C16" s="7" t="s">
        <v>16</v>
      </c>
      <c r="D16">
        <f t="shared" si="0"/>
        <v>1.0000000000000002E-2</v>
      </c>
    </row>
    <row r="17" spans="1:4" ht="15.75" x14ac:dyDescent="0.25">
      <c r="A17" s="6" t="s">
        <v>10</v>
      </c>
      <c r="B17" s="7" t="s">
        <v>9</v>
      </c>
      <c r="C17" s="7" t="s">
        <v>16</v>
      </c>
      <c r="D17">
        <f t="shared" si="0"/>
        <v>0.05</v>
      </c>
    </row>
    <row r="18" spans="1:4" ht="15.75" x14ac:dyDescent="0.25">
      <c r="A18" s="6" t="s">
        <v>11</v>
      </c>
      <c r="B18" s="7" t="s">
        <v>8</v>
      </c>
      <c r="C18" s="7" t="s">
        <v>16</v>
      </c>
      <c r="D18">
        <f t="shared" si="0"/>
        <v>1.0000000000000002E-2</v>
      </c>
    </row>
    <row r="19" spans="1:4" ht="15.75" x14ac:dyDescent="0.25">
      <c r="A19" s="6" t="s">
        <v>29</v>
      </c>
      <c r="B19" s="7" t="s">
        <v>8</v>
      </c>
      <c r="C19" s="7" t="s">
        <v>16</v>
      </c>
      <c r="D19">
        <f t="shared" si="0"/>
        <v>1.0000000000000002E-2</v>
      </c>
    </row>
    <row r="20" spans="1:4" x14ac:dyDescent="0.25">
      <c r="C20" s="10" t="s">
        <v>35</v>
      </c>
      <c r="D20" s="11">
        <f>SUM(D5:D19)</f>
        <v>2.4899999999999993</v>
      </c>
    </row>
  </sheetData>
  <conditionalFormatting sqref="B5:B19">
    <cfRule type="expression" dxfId="44" priority="4">
      <formula>B5="D"</formula>
    </cfRule>
    <cfRule type="expression" dxfId="43" priority="5">
      <formula>B5="I"</formula>
    </cfRule>
    <cfRule type="expression" dxfId="42" priority="6">
      <formula>B5="N"</formula>
    </cfRule>
  </conditionalFormatting>
  <conditionalFormatting sqref="C5:C19">
    <cfRule type="expression" dxfId="41" priority="2">
      <formula>C5="CD"</formula>
    </cfRule>
    <cfRule type="expression" dxfId="40" priority="3">
      <formula>C5="R"</formula>
    </cfRule>
  </conditionalFormatting>
  <conditionalFormatting sqref="C5:C20">
    <cfRule type="expression" dxfId="39" priority="1">
      <formula>C5="C"</formula>
    </cfRule>
  </conditionalFormatting>
  <conditionalFormatting sqref="D5:D19">
    <cfRule type="colorScale" priority="79">
      <colorScale>
        <cfvo type="min"/>
        <cfvo type="percentile" val="50"/>
        <cfvo type="max"/>
        <color rgb="FFF8696B"/>
        <color rgb="FFFFEB84"/>
        <color rgb="FF63BE7B"/>
      </colorScale>
    </cfRule>
  </conditionalFormatting>
  <conditionalFormatting sqref="E7:E9 C20">
    <cfRule type="expression" dxfId="38" priority="9">
      <formula>C7="S"</formula>
    </cfRule>
    <cfRule type="expression" dxfId="37" priority="10">
      <formula>C7="R"</formula>
    </cfRule>
  </conditionalFormatting>
  <conditionalFormatting sqref="E7:E9">
    <cfRule type="expression" dxfId="36" priority="8">
      <formula>E7="C"</formula>
    </cfRule>
  </conditionalFormatting>
  <dataValidations count="3">
    <dataValidation type="list" allowBlank="1" sqref="C5:C19" xr:uid="{E4EB578F-5CEF-4589-B1CB-C7F84427C6FD}">
      <formula1>$L$11:$L$13</formula1>
    </dataValidation>
    <dataValidation type="list" allowBlank="1" sqref="B5:B19" xr:uid="{30C309DD-333C-480F-8B43-CD095E30DCF0}">
      <formula1>$L$7:$L$9</formula1>
    </dataValidation>
    <dataValidation allowBlank="1" sqref="D5:D19" xr:uid="{89FD47C2-E824-4278-95F5-556E80759A49}"/>
  </dataValidations>
  <pageMargins left="0.75" right="0.75" top="1" bottom="1" header="0.5" footer="0.5"/>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7E43-FA33-4BE0-ABE4-2E2E5FBA1D4E}">
  <dimension ref="A1:M21"/>
  <sheetViews>
    <sheetView zoomScale="115" zoomScaleNormal="115" workbookViewId="0">
      <selection activeCell="C5" sqref="C5:C20"/>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41</v>
      </c>
    </row>
    <row r="2" spans="1:13" s="1" customFormat="1" x14ac:dyDescent="0.25">
      <c r="B2" s="13" t="s">
        <v>43</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8</v>
      </c>
      <c r="C5" s="7" t="s">
        <v>16</v>
      </c>
      <c r="D5">
        <f t="shared" ref="D5:D20" si="0">VLOOKUP(B5,$L$7:$M$9,2,FALSE)*VLOOKUP(C5,$L$11:$M$13,2,FALSE)</f>
        <v>1.0000000000000002E-2</v>
      </c>
    </row>
    <row r="6" spans="1:13" ht="15.75" x14ac:dyDescent="0.25">
      <c r="A6" s="6" t="s">
        <v>18</v>
      </c>
      <c r="B6" s="7" t="s">
        <v>9</v>
      </c>
      <c r="C6" s="7" t="s">
        <v>73</v>
      </c>
      <c r="D6">
        <f t="shared" si="0"/>
        <v>0.25</v>
      </c>
    </row>
    <row r="7" spans="1:13" ht="15.75" x14ac:dyDescent="0.25">
      <c r="A7" s="6" t="s">
        <v>19</v>
      </c>
      <c r="B7" s="7" t="s">
        <v>9</v>
      </c>
      <c r="C7" s="7" t="s">
        <v>73</v>
      </c>
      <c r="D7">
        <f t="shared" si="0"/>
        <v>0.25</v>
      </c>
      <c r="K7" t="s">
        <v>0</v>
      </c>
      <c r="L7" t="s">
        <v>7</v>
      </c>
      <c r="M7">
        <f>Score!E14</f>
        <v>1</v>
      </c>
    </row>
    <row r="8" spans="1:13" ht="15.75" x14ac:dyDescent="0.25">
      <c r="A8" s="6" t="s">
        <v>20</v>
      </c>
      <c r="B8" s="7" t="s">
        <v>8</v>
      </c>
      <c r="C8" s="7" t="s">
        <v>16</v>
      </c>
      <c r="D8">
        <f t="shared" si="0"/>
        <v>1.0000000000000002E-2</v>
      </c>
      <c r="K8" t="s">
        <v>1</v>
      </c>
      <c r="L8" t="s">
        <v>9</v>
      </c>
      <c r="M8">
        <f>Score!E15</f>
        <v>0.5</v>
      </c>
    </row>
    <row r="9" spans="1:13" ht="15.75" x14ac:dyDescent="0.25">
      <c r="A9" s="6" t="s">
        <v>21</v>
      </c>
      <c r="B9" s="7" t="s">
        <v>8</v>
      </c>
      <c r="C9" s="7" t="s">
        <v>16</v>
      </c>
      <c r="D9">
        <f t="shared" si="0"/>
        <v>1.0000000000000002E-2</v>
      </c>
      <c r="K9" t="s">
        <v>2</v>
      </c>
      <c r="L9" t="s">
        <v>8</v>
      </c>
      <c r="M9">
        <f>Score!E16</f>
        <v>0.1</v>
      </c>
    </row>
    <row r="10" spans="1:13" ht="15.75" x14ac:dyDescent="0.25">
      <c r="A10" s="6" t="s">
        <v>22</v>
      </c>
      <c r="B10" s="7" t="s">
        <v>8</v>
      </c>
      <c r="C10" s="7" t="s">
        <v>16</v>
      </c>
      <c r="D10">
        <f t="shared" si="0"/>
        <v>1.0000000000000002E-2</v>
      </c>
    </row>
    <row r="11" spans="1:13" ht="15.75" x14ac:dyDescent="0.25">
      <c r="A11" s="6" t="s">
        <v>23</v>
      </c>
      <c r="B11" s="7" t="s">
        <v>8</v>
      </c>
      <c r="C11" s="7" t="s">
        <v>16</v>
      </c>
      <c r="D11">
        <f t="shared" si="0"/>
        <v>1.0000000000000002E-2</v>
      </c>
      <c r="K11" t="s">
        <v>3</v>
      </c>
      <c r="L11" t="s">
        <v>15</v>
      </c>
      <c r="M11">
        <f>Score!E18</f>
        <v>1</v>
      </c>
    </row>
    <row r="12" spans="1:13" ht="15.75" x14ac:dyDescent="0.25">
      <c r="A12" s="6" t="s">
        <v>22</v>
      </c>
      <c r="B12" s="7" t="s">
        <v>8</v>
      </c>
      <c r="C12" s="7" t="s">
        <v>16</v>
      </c>
      <c r="D12">
        <f t="shared" si="0"/>
        <v>1.0000000000000002E-2</v>
      </c>
      <c r="K12" t="s">
        <v>65</v>
      </c>
      <c r="L12" t="s">
        <v>73</v>
      </c>
      <c r="M12">
        <f>Score!E19</f>
        <v>0.5</v>
      </c>
    </row>
    <row r="13" spans="1:13" ht="15.75" x14ac:dyDescent="0.25">
      <c r="A13" s="6" t="s">
        <v>24</v>
      </c>
      <c r="B13" s="7" t="s">
        <v>8</v>
      </c>
      <c r="C13" s="7" t="s">
        <v>16</v>
      </c>
      <c r="D13">
        <f t="shared" si="0"/>
        <v>1.0000000000000002E-2</v>
      </c>
      <c r="K13" t="s">
        <v>4</v>
      </c>
      <c r="L13" t="s">
        <v>16</v>
      </c>
      <c r="M13">
        <f>Score!E20</f>
        <v>0.1</v>
      </c>
    </row>
    <row r="14" spans="1:13" ht="15.75" x14ac:dyDescent="0.25">
      <c r="A14" s="6" t="s">
        <v>25</v>
      </c>
      <c r="B14" s="7" t="s">
        <v>9</v>
      </c>
      <c r="C14" s="7" t="s">
        <v>73</v>
      </c>
      <c r="D14">
        <f t="shared" si="0"/>
        <v>0.25</v>
      </c>
    </row>
    <row r="15" spans="1:13" ht="15.75" x14ac:dyDescent="0.25">
      <c r="A15" s="6" t="s">
        <v>26</v>
      </c>
      <c r="B15" s="7" t="s">
        <v>8</v>
      </c>
      <c r="C15" s="7" t="s">
        <v>16</v>
      </c>
      <c r="D15">
        <f t="shared" si="0"/>
        <v>1.0000000000000002E-2</v>
      </c>
    </row>
    <row r="16" spans="1:13" ht="15.75" x14ac:dyDescent="0.25">
      <c r="A16" s="6" t="s">
        <v>27</v>
      </c>
      <c r="B16" s="7" t="s">
        <v>8</v>
      </c>
      <c r="C16" s="7" t="s">
        <v>16</v>
      </c>
      <c r="D16">
        <f t="shared" si="0"/>
        <v>1.0000000000000002E-2</v>
      </c>
    </row>
    <row r="17" spans="1:4" ht="15.75" x14ac:dyDescent="0.25">
      <c r="A17" s="6" t="s">
        <v>28</v>
      </c>
      <c r="B17" s="7" t="s">
        <v>7</v>
      </c>
      <c r="C17" s="7" t="s">
        <v>15</v>
      </c>
      <c r="D17">
        <f t="shared" si="0"/>
        <v>1</v>
      </c>
    </row>
    <row r="18" spans="1:4" ht="15.75" x14ac:dyDescent="0.25">
      <c r="A18" s="6" t="s">
        <v>10</v>
      </c>
      <c r="B18" s="7" t="s">
        <v>8</v>
      </c>
      <c r="C18" s="7" t="s">
        <v>16</v>
      </c>
      <c r="D18">
        <f t="shared" si="0"/>
        <v>1.0000000000000002E-2</v>
      </c>
    </row>
    <row r="19" spans="1:4" ht="15.75" x14ac:dyDescent="0.25">
      <c r="A19" s="6" t="s">
        <v>11</v>
      </c>
      <c r="B19" s="7" t="s">
        <v>8</v>
      </c>
      <c r="C19" s="7" t="s">
        <v>16</v>
      </c>
      <c r="D19">
        <f t="shared" si="0"/>
        <v>1.0000000000000002E-2</v>
      </c>
    </row>
    <row r="20" spans="1:4" ht="15.75" x14ac:dyDescent="0.25">
      <c r="A20" s="6" t="s">
        <v>29</v>
      </c>
      <c r="B20" s="7" t="s">
        <v>8</v>
      </c>
      <c r="C20" s="7" t="s">
        <v>16</v>
      </c>
      <c r="D20">
        <f t="shared" si="0"/>
        <v>1.0000000000000002E-2</v>
      </c>
    </row>
    <row r="21" spans="1:4" x14ac:dyDescent="0.25">
      <c r="C21" s="10" t="s">
        <v>35</v>
      </c>
      <c r="D21" s="11">
        <f>SUM(D5:D20)</f>
        <v>1.87</v>
      </c>
    </row>
  </sheetData>
  <conditionalFormatting sqref="B5:B20">
    <cfRule type="expression" dxfId="35" priority="4">
      <formula>B5="D"</formula>
    </cfRule>
    <cfRule type="expression" dxfId="34" priority="5">
      <formula>B5="I"</formula>
    </cfRule>
    <cfRule type="expression" dxfId="33" priority="6">
      <formula>B5="N"</formula>
    </cfRule>
  </conditionalFormatting>
  <conditionalFormatting sqref="C5:C20">
    <cfRule type="expression" dxfId="32" priority="2">
      <formula>C5="CD"</formula>
    </cfRule>
    <cfRule type="expression" dxfId="31" priority="3">
      <formula>C5="R"</formula>
    </cfRule>
  </conditionalFormatting>
  <conditionalFormatting sqref="C5:C21">
    <cfRule type="expression" dxfId="30" priority="1">
      <formula>C5="C"</formula>
    </cfRule>
  </conditionalFormatting>
  <conditionalFormatting sqref="D5:D20">
    <cfRule type="colorScale" priority="7">
      <colorScale>
        <cfvo type="min"/>
        <cfvo type="percentile" val="50"/>
        <cfvo type="max"/>
        <color rgb="FFF8696B"/>
        <color rgb="FFFFEB84"/>
        <color rgb="FF63BE7B"/>
      </colorScale>
    </cfRule>
  </conditionalFormatting>
  <conditionalFormatting sqref="E7:E9 C21">
    <cfRule type="expression" dxfId="29" priority="9">
      <formula>C7="S"</formula>
    </cfRule>
    <cfRule type="expression" dxfId="28" priority="10">
      <formula>C7="R"</formula>
    </cfRule>
  </conditionalFormatting>
  <conditionalFormatting sqref="E7:E9">
    <cfRule type="expression" dxfId="27" priority="8">
      <formula>E7="C"</formula>
    </cfRule>
  </conditionalFormatting>
  <dataValidations count="3">
    <dataValidation allowBlank="1" sqref="D5:D20" xr:uid="{9B5B7354-9765-48D2-830D-EE32BCF3B219}"/>
    <dataValidation type="list" allowBlank="1" sqref="B5:B20" xr:uid="{66C6739B-17B2-4F85-8E7E-CEA0E69D92AC}">
      <formula1>$L$7:$L$9</formula1>
    </dataValidation>
    <dataValidation type="list" allowBlank="1" sqref="C5:C20" xr:uid="{F4B5C784-51D6-48A9-8DCC-9B4C59F1D7B3}">
      <formula1>$L$11:$L$13</formula1>
    </dataValidation>
  </dataValidations>
  <pageMargins left="0.75" right="0.75" top="1" bottom="1" header="0.5" footer="0.5"/>
  <pageSetup orientation="portrait" horizontalDpi="360" verticalDpi="36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E9D79-896B-4EA3-948D-F734B2815DFC}">
  <dimension ref="A1:M20"/>
  <sheetViews>
    <sheetView zoomScale="145" zoomScaleNormal="145" workbookViewId="0">
      <selection activeCell="C5" sqref="C5:C19"/>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41</v>
      </c>
    </row>
    <row r="2" spans="1:13" s="1" customFormat="1" x14ac:dyDescent="0.25">
      <c r="B2" s="13" t="s">
        <v>44</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8</v>
      </c>
      <c r="C5" s="7" t="s">
        <v>16</v>
      </c>
      <c r="D5">
        <f t="shared" ref="D5:D19" si="0">VLOOKUP(B5,$L$7:$M$9,2,FALSE)*VLOOKUP(C5,$L$11:$M$13,2,FALSE)</f>
        <v>1.0000000000000002E-2</v>
      </c>
    </row>
    <row r="6" spans="1:13" ht="15.75" x14ac:dyDescent="0.25">
      <c r="A6" s="6" t="s">
        <v>18</v>
      </c>
      <c r="B6" s="7" t="s">
        <v>9</v>
      </c>
      <c r="C6" s="7" t="s">
        <v>73</v>
      </c>
      <c r="D6">
        <f t="shared" si="0"/>
        <v>0.25</v>
      </c>
    </row>
    <row r="7" spans="1:13" ht="15.75" x14ac:dyDescent="0.25">
      <c r="A7" s="6" t="s">
        <v>19</v>
      </c>
      <c r="B7" s="7" t="s">
        <v>9</v>
      </c>
      <c r="C7" s="7" t="s">
        <v>16</v>
      </c>
      <c r="D7">
        <f t="shared" si="0"/>
        <v>0.05</v>
      </c>
      <c r="K7" t="s">
        <v>0</v>
      </c>
      <c r="L7" t="s">
        <v>7</v>
      </c>
      <c r="M7">
        <f>Score!E14</f>
        <v>1</v>
      </c>
    </row>
    <row r="8" spans="1:13" ht="15.75" x14ac:dyDescent="0.25">
      <c r="A8" s="6" t="s">
        <v>20</v>
      </c>
      <c r="B8" s="7" t="s">
        <v>8</v>
      </c>
      <c r="C8" s="7" t="s">
        <v>16</v>
      </c>
      <c r="D8">
        <f t="shared" si="0"/>
        <v>1.0000000000000002E-2</v>
      </c>
      <c r="K8" t="s">
        <v>1</v>
      </c>
      <c r="L8" t="s">
        <v>9</v>
      </c>
      <c r="M8">
        <f>Score!E15</f>
        <v>0.5</v>
      </c>
    </row>
    <row r="9" spans="1:13" ht="15.75" x14ac:dyDescent="0.25">
      <c r="A9" s="6" t="s">
        <v>21</v>
      </c>
      <c r="B9" s="7" t="s">
        <v>8</v>
      </c>
      <c r="C9" s="7" t="s">
        <v>16</v>
      </c>
      <c r="D9">
        <f t="shared" si="0"/>
        <v>1.0000000000000002E-2</v>
      </c>
      <c r="K9" t="s">
        <v>2</v>
      </c>
      <c r="L9" t="s">
        <v>8</v>
      </c>
      <c r="M9">
        <f>Score!E16</f>
        <v>0.1</v>
      </c>
    </row>
    <row r="10" spans="1:13" ht="15.75" x14ac:dyDescent="0.25">
      <c r="A10" s="6" t="s">
        <v>22</v>
      </c>
      <c r="B10" s="7" t="s">
        <v>8</v>
      </c>
      <c r="C10" s="7" t="s">
        <v>16</v>
      </c>
      <c r="D10">
        <f t="shared" si="0"/>
        <v>1.0000000000000002E-2</v>
      </c>
    </row>
    <row r="11" spans="1:13" ht="15.75" x14ac:dyDescent="0.25">
      <c r="A11" s="6" t="s">
        <v>23</v>
      </c>
      <c r="B11" s="7" t="s">
        <v>8</v>
      </c>
      <c r="C11" s="7" t="s">
        <v>16</v>
      </c>
      <c r="D11">
        <f t="shared" si="0"/>
        <v>1.0000000000000002E-2</v>
      </c>
      <c r="K11" t="s">
        <v>3</v>
      </c>
      <c r="L11" t="s">
        <v>15</v>
      </c>
      <c r="M11">
        <f>Score!E18</f>
        <v>1</v>
      </c>
    </row>
    <row r="12" spans="1:13" ht="15.75" x14ac:dyDescent="0.25">
      <c r="A12" s="6" t="s">
        <v>24</v>
      </c>
      <c r="B12" s="7" t="s">
        <v>8</v>
      </c>
      <c r="C12" s="7" t="s">
        <v>16</v>
      </c>
      <c r="D12">
        <f t="shared" si="0"/>
        <v>1.0000000000000002E-2</v>
      </c>
      <c r="K12" t="s">
        <v>65</v>
      </c>
      <c r="L12" t="s">
        <v>73</v>
      </c>
      <c r="M12">
        <f>Score!E19</f>
        <v>0.5</v>
      </c>
    </row>
    <row r="13" spans="1:13" ht="15.75" x14ac:dyDescent="0.25">
      <c r="A13" s="6" t="s">
        <v>25</v>
      </c>
      <c r="B13" s="7" t="s">
        <v>8</v>
      </c>
      <c r="C13" s="7" t="s">
        <v>16</v>
      </c>
      <c r="D13">
        <f t="shared" si="0"/>
        <v>1.0000000000000002E-2</v>
      </c>
      <c r="K13" t="s">
        <v>4</v>
      </c>
      <c r="L13" t="s">
        <v>16</v>
      </c>
      <c r="M13">
        <f>Score!E20</f>
        <v>0.1</v>
      </c>
    </row>
    <row r="14" spans="1:13" ht="15.75" x14ac:dyDescent="0.25">
      <c r="A14" s="6" t="s">
        <v>26</v>
      </c>
      <c r="B14" s="7" t="s">
        <v>8</v>
      </c>
      <c r="C14" s="7" t="s">
        <v>16</v>
      </c>
      <c r="D14">
        <f t="shared" si="0"/>
        <v>1.0000000000000002E-2</v>
      </c>
    </row>
    <row r="15" spans="1:13" ht="15.75" x14ac:dyDescent="0.25">
      <c r="A15" s="6" t="s">
        <v>27</v>
      </c>
      <c r="B15" s="7" t="s">
        <v>8</v>
      </c>
      <c r="C15" s="7" t="s">
        <v>16</v>
      </c>
      <c r="D15">
        <f t="shared" si="0"/>
        <v>1.0000000000000002E-2</v>
      </c>
    </row>
    <row r="16" spans="1:13" ht="15.75" x14ac:dyDescent="0.25">
      <c r="A16" s="6" t="s">
        <v>28</v>
      </c>
      <c r="B16" s="7" t="s">
        <v>8</v>
      </c>
      <c r="C16" s="7" t="s">
        <v>16</v>
      </c>
      <c r="D16">
        <f t="shared" si="0"/>
        <v>1.0000000000000002E-2</v>
      </c>
    </row>
    <row r="17" spans="1:4" ht="15.75" x14ac:dyDescent="0.25">
      <c r="A17" s="6" t="s">
        <v>10</v>
      </c>
      <c r="B17" s="7" t="s">
        <v>8</v>
      </c>
      <c r="C17" s="7" t="s">
        <v>16</v>
      </c>
      <c r="D17">
        <f t="shared" si="0"/>
        <v>1.0000000000000002E-2</v>
      </c>
    </row>
    <row r="18" spans="1:4" ht="15.75" x14ac:dyDescent="0.25">
      <c r="A18" s="6" t="s">
        <v>11</v>
      </c>
      <c r="B18" s="7" t="s">
        <v>7</v>
      </c>
      <c r="C18" s="7" t="s">
        <v>15</v>
      </c>
      <c r="D18">
        <f t="shared" si="0"/>
        <v>1</v>
      </c>
    </row>
    <row r="19" spans="1:4" ht="15.75" x14ac:dyDescent="0.25">
      <c r="A19" s="6" t="s">
        <v>29</v>
      </c>
      <c r="B19" s="7" t="s">
        <v>8</v>
      </c>
      <c r="C19" s="7" t="s">
        <v>16</v>
      </c>
      <c r="D19">
        <f t="shared" si="0"/>
        <v>1.0000000000000002E-2</v>
      </c>
    </row>
    <row r="20" spans="1:4" x14ac:dyDescent="0.25">
      <c r="C20" s="10" t="s">
        <v>35</v>
      </c>
      <c r="D20" s="11">
        <f>SUM(D5:D19)</f>
        <v>1.4200000000000002</v>
      </c>
    </row>
  </sheetData>
  <conditionalFormatting sqref="B5:B19">
    <cfRule type="expression" dxfId="26" priority="4">
      <formula>B5="D"</formula>
    </cfRule>
    <cfRule type="expression" dxfId="25" priority="5">
      <formula>B5="I"</formula>
    </cfRule>
    <cfRule type="expression" dxfId="24" priority="6">
      <formula>B5="N"</formula>
    </cfRule>
  </conditionalFormatting>
  <conditionalFormatting sqref="C5:C19">
    <cfRule type="expression" dxfId="23" priority="2">
      <formula>C5="CD"</formula>
    </cfRule>
    <cfRule type="expression" dxfId="22" priority="3">
      <formula>C5="R"</formula>
    </cfRule>
  </conditionalFormatting>
  <conditionalFormatting sqref="C5:C20">
    <cfRule type="expression" dxfId="21" priority="1">
      <formula>C5="C"</formula>
    </cfRule>
  </conditionalFormatting>
  <conditionalFormatting sqref="D5:D19">
    <cfRule type="colorScale" priority="92">
      <colorScale>
        <cfvo type="min"/>
        <cfvo type="percentile" val="50"/>
        <cfvo type="max"/>
        <color rgb="FFF8696B"/>
        <color rgb="FFFFEB84"/>
        <color rgb="FF63BE7B"/>
      </colorScale>
    </cfRule>
  </conditionalFormatting>
  <conditionalFormatting sqref="E7:E9 C20">
    <cfRule type="expression" dxfId="20" priority="9">
      <formula>C7="S"</formula>
    </cfRule>
    <cfRule type="expression" dxfId="19" priority="10">
      <formula>C7="R"</formula>
    </cfRule>
  </conditionalFormatting>
  <conditionalFormatting sqref="E7:E9">
    <cfRule type="expression" dxfId="18" priority="8">
      <formula>E7="C"</formula>
    </cfRule>
  </conditionalFormatting>
  <dataValidations count="3">
    <dataValidation allowBlank="1" sqref="D5:D19" xr:uid="{EF68652C-A319-4C3D-8AB5-F8BB742E64AE}"/>
    <dataValidation type="list" allowBlank="1" sqref="B5:B19" xr:uid="{CF85F234-BC41-497C-8EBF-8DE06372EF38}">
      <formula1>$L$7:$L$9</formula1>
    </dataValidation>
    <dataValidation type="list" allowBlank="1" sqref="C5:C19" xr:uid="{8094AD45-19EF-4016-B64E-E44EE3B53411}">
      <formula1>$L$11:$L$13</formula1>
    </dataValidation>
  </dataValidations>
  <pageMargins left="0.75" right="0.75" top="1" bottom="1" header="0.5" footer="0.5"/>
  <pageSetup orientation="portrait" horizontalDpi="360" verticalDpi="36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1820-C45D-42F2-AE18-F467A4ED3EFD}">
  <dimension ref="A1:M20"/>
  <sheetViews>
    <sheetView zoomScale="115" zoomScaleNormal="115" workbookViewId="0">
      <selection activeCell="C5" sqref="C5:C19"/>
    </sheetView>
  </sheetViews>
  <sheetFormatPr defaultRowHeight="15" x14ac:dyDescent="0.25"/>
  <cols>
    <col min="1" max="1" width="55.85546875" bestFit="1" customWidth="1"/>
    <col min="2" max="2" width="14.42578125" customWidth="1"/>
    <col min="3" max="3" width="12.5703125" customWidth="1"/>
    <col min="4" max="4" width="13.28515625" customWidth="1"/>
    <col min="11" max="11" width="24" bestFit="1" customWidth="1"/>
  </cols>
  <sheetData>
    <row r="1" spans="1:13" ht="18.75" x14ac:dyDescent="0.3">
      <c r="A1" s="3" t="s">
        <v>41</v>
      </c>
    </row>
    <row r="2" spans="1:13" s="1" customFormat="1" x14ac:dyDescent="0.25">
      <c r="B2" s="13" t="s">
        <v>45</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8</v>
      </c>
      <c r="C5" s="7" t="s">
        <v>16</v>
      </c>
      <c r="D5">
        <f t="shared" ref="D5:D19" si="0">VLOOKUP(B5,$L$7:$M$9,2,FALSE)*VLOOKUP(C5,$L$11:$M$13,2,FALSE)</f>
        <v>1.0000000000000002E-2</v>
      </c>
    </row>
    <row r="6" spans="1:13" ht="15.75" x14ac:dyDescent="0.25">
      <c r="A6" s="6" t="s">
        <v>18</v>
      </c>
      <c r="B6" s="7" t="s">
        <v>8</v>
      </c>
      <c r="C6" s="7" t="s">
        <v>16</v>
      </c>
      <c r="D6">
        <f t="shared" si="0"/>
        <v>1.0000000000000002E-2</v>
      </c>
    </row>
    <row r="7" spans="1:13" ht="15.75" x14ac:dyDescent="0.25">
      <c r="A7" s="6" t="s">
        <v>19</v>
      </c>
      <c r="B7" s="7" t="s">
        <v>8</v>
      </c>
      <c r="C7" s="7" t="s">
        <v>16</v>
      </c>
      <c r="D7">
        <f t="shared" si="0"/>
        <v>1.0000000000000002E-2</v>
      </c>
      <c r="K7" t="s">
        <v>0</v>
      </c>
      <c r="L7" t="s">
        <v>7</v>
      </c>
      <c r="M7">
        <f>Score!E14</f>
        <v>1</v>
      </c>
    </row>
    <row r="8" spans="1:13" ht="15.75" x14ac:dyDescent="0.25">
      <c r="A8" s="6" t="s">
        <v>20</v>
      </c>
      <c r="B8" s="7" t="s">
        <v>8</v>
      </c>
      <c r="C8" s="7" t="s">
        <v>16</v>
      </c>
      <c r="D8">
        <f t="shared" si="0"/>
        <v>1.0000000000000002E-2</v>
      </c>
      <c r="K8" t="s">
        <v>1</v>
      </c>
      <c r="L8" t="s">
        <v>9</v>
      </c>
      <c r="M8">
        <f>Score!E15</f>
        <v>0.5</v>
      </c>
    </row>
    <row r="9" spans="1:13" ht="15.75" x14ac:dyDescent="0.25">
      <c r="A9" s="6" t="s">
        <v>21</v>
      </c>
      <c r="B9" s="7" t="s">
        <v>8</v>
      </c>
      <c r="C9" s="7" t="s">
        <v>16</v>
      </c>
      <c r="D9">
        <f t="shared" si="0"/>
        <v>1.0000000000000002E-2</v>
      </c>
      <c r="K9" t="s">
        <v>2</v>
      </c>
      <c r="L9" t="s">
        <v>8</v>
      </c>
      <c r="M9">
        <f>Score!E16</f>
        <v>0.1</v>
      </c>
    </row>
    <row r="10" spans="1:13" ht="15.75" x14ac:dyDescent="0.25">
      <c r="A10" s="6" t="s">
        <v>22</v>
      </c>
      <c r="B10" s="7" t="s">
        <v>9</v>
      </c>
      <c r="C10" s="7" t="s">
        <v>73</v>
      </c>
      <c r="D10">
        <f t="shared" si="0"/>
        <v>0.25</v>
      </c>
    </row>
    <row r="11" spans="1:13" ht="15.75" x14ac:dyDescent="0.25">
      <c r="A11" s="6" t="s">
        <v>23</v>
      </c>
      <c r="B11" s="7" t="s">
        <v>9</v>
      </c>
      <c r="C11" s="7" t="s">
        <v>73</v>
      </c>
      <c r="D11">
        <f t="shared" si="0"/>
        <v>0.25</v>
      </c>
      <c r="K11" t="s">
        <v>3</v>
      </c>
      <c r="L11" t="s">
        <v>15</v>
      </c>
      <c r="M11">
        <f>Score!E18</f>
        <v>1</v>
      </c>
    </row>
    <row r="12" spans="1:13" ht="15.75" x14ac:dyDescent="0.25">
      <c r="A12" s="6" t="s">
        <v>24</v>
      </c>
      <c r="B12" s="7" t="s">
        <v>9</v>
      </c>
      <c r="C12" s="7" t="s">
        <v>73</v>
      </c>
      <c r="D12">
        <f t="shared" si="0"/>
        <v>0.25</v>
      </c>
      <c r="K12" t="s">
        <v>65</v>
      </c>
      <c r="L12" t="s">
        <v>73</v>
      </c>
      <c r="M12">
        <f>Score!E19</f>
        <v>0.5</v>
      </c>
    </row>
    <row r="13" spans="1:13" ht="15.75" x14ac:dyDescent="0.25">
      <c r="A13" s="6" t="s">
        <v>25</v>
      </c>
      <c r="B13" s="7" t="s">
        <v>9</v>
      </c>
      <c r="C13" s="7" t="s">
        <v>73</v>
      </c>
      <c r="D13">
        <f t="shared" si="0"/>
        <v>0.25</v>
      </c>
      <c r="K13" t="s">
        <v>4</v>
      </c>
      <c r="L13" t="s">
        <v>16</v>
      </c>
      <c r="M13">
        <f>Score!E20</f>
        <v>0.1</v>
      </c>
    </row>
    <row r="14" spans="1:13" ht="15.75" x14ac:dyDescent="0.25">
      <c r="A14" s="6" t="s">
        <v>26</v>
      </c>
      <c r="B14" s="7" t="s">
        <v>9</v>
      </c>
      <c r="C14" s="7" t="s">
        <v>73</v>
      </c>
      <c r="D14">
        <f t="shared" si="0"/>
        <v>0.25</v>
      </c>
    </row>
    <row r="15" spans="1:13" ht="15.75" x14ac:dyDescent="0.25">
      <c r="A15" s="6" t="s">
        <v>27</v>
      </c>
      <c r="B15" s="7" t="s">
        <v>8</v>
      </c>
      <c r="C15" s="7" t="s">
        <v>16</v>
      </c>
      <c r="D15">
        <f t="shared" si="0"/>
        <v>1.0000000000000002E-2</v>
      </c>
    </row>
    <row r="16" spans="1:13" ht="15.75" x14ac:dyDescent="0.25">
      <c r="A16" s="6" t="s">
        <v>28</v>
      </c>
      <c r="B16" s="7" t="s">
        <v>9</v>
      </c>
      <c r="C16" s="7" t="s">
        <v>73</v>
      </c>
      <c r="D16">
        <f t="shared" si="0"/>
        <v>0.25</v>
      </c>
    </row>
    <row r="17" spans="1:4" ht="15.75" x14ac:dyDescent="0.25">
      <c r="A17" s="6" t="s">
        <v>10</v>
      </c>
      <c r="B17" s="7" t="s">
        <v>8</v>
      </c>
      <c r="C17" s="7" t="s">
        <v>16</v>
      </c>
      <c r="D17">
        <f t="shared" si="0"/>
        <v>1.0000000000000002E-2</v>
      </c>
    </row>
    <row r="18" spans="1:4" ht="15.75" x14ac:dyDescent="0.25">
      <c r="A18" s="6" t="s">
        <v>11</v>
      </c>
      <c r="B18" s="7" t="s">
        <v>9</v>
      </c>
      <c r="C18" s="7" t="s">
        <v>73</v>
      </c>
      <c r="D18">
        <f t="shared" si="0"/>
        <v>0.25</v>
      </c>
    </row>
    <row r="19" spans="1:4" ht="15.75" x14ac:dyDescent="0.25">
      <c r="A19" s="6" t="s">
        <v>29</v>
      </c>
      <c r="B19" s="7" t="s">
        <v>8</v>
      </c>
      <c r="C19" s="7" t="s">
        <v>16</v>
      </c>
      <c r="D19">
        <f t="shared" si="0"/>
        <v>1.0000000000000002E-2</v>
      </c>
    </row>
    <row r="20" spans="1:4" x14ac:dyDescent="0.25">
      <c r="C20" s="10" t="s">
        <v>35</v>
      </c>
      <c r="D20" s="11">
        <f>SUM(D5:D19)</f>
        <v>1.83</v>
      </c>
    </row>
  </sheetData>
  <conditionalFormatting sqref="B5:B19">
    <cfRule type="expression" dxfId="17" priority="4">
      <formula>B5="D"</formula>
    </cfRule>
    <cfRule type="expression" dxfId="16" priority="5">
      <formula>B5="I"</formula>
    </cfRule>
    <cfRule type="expression" dxfId="15" priority="6">
      <formula>B5="N"</formula>
    </cfRule>
  </conditionalFormatting>
  <conditionalFormatting sqref="C5:C19">
    <cfRule type="expression" dxfId="14" priority="2">
      <formula>C5="CD"</formula>
    </cfRule>
    <cfRule type="expression" dxfId="13" priority="3">
      <formula>C5="R"</formula>
    </cfRule>
  </conditionalFormatting>
  <conditionalFormatting sqref="C5:C20">
    <cfRule type="expression" dxfId="12" priority="1">
      <formula>C5="C"</formula>
    </cfRule>
  </conditionalFormatting>
  <conditionalFormatting sqref="D5:D19">
    <cfRule type="colorScale" priority="105">
      <colorScale>
        <cfvo type="min"/>
        <cfvo type="percentile" val="50"/>
        <cfvo type="max"/>
        <color rgb="FFF8696B"/>
        <color rgb="FFFFEB84"/>
        <color rgb="FF63BE7B"/>
      </colorScale>
    </cfRule>
  </conditionalFormatting>
  <conditionalFormatting sqref="E7:E9 C20">
    <cfRule type="expression" dxfId="11" priority="9">
      <formula>C7="S"</formula>
    </cfRule>
    <cfRule type="expression" dxfId="10" priority="10">
      <formula>C7="R"</formula>
    </cfRule>
  </conditionalFormatting>
  <conditionalFormatting sqref="E7:E9">
    <cfRule type="expression" dxfId="9" priority="8">
      <formula>E7="C"</formula>
    </cfRule>
  </conditionalFormatting>
  <dataValidations count="3">
    <dataValidation type="list" allowBlank="1" sqref="C5:C19" xr:uid="{D221EFD2-58F0-42C6-A1C1-5D167AFEB96D}">
      <formula1>$L$11:$L$13</formula1>
    </dataValidation>
    <dataValidation type="list" allowBlank="1" sqref="B5:B19" xr:uid="{188A39E8-81A9-434A-BC18-8996C3B7E363}">
      <formula1>$L$7:$L$9</formula1>
    </dataValidation>
    <dataValidation allowBlank="1" sqref="D5:D19" xr:uid="{A7503C55-B839-42D1-8629-D57392127286}"/>
  </dataValidations>
  <pageMargins left="0.75" right="0.75" top="1" bottom="1" header="0.5" footer="0.5"/>
  <pageSetup orientation="portrait" horizontalDpi="360" verticalDpi="36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C18E-3F6E-4960-BC11-F86827F7BDDC}">
  <dimension ref="A1:M20"/>
  <sheetViews>
    <sheetView zoomScale="115" zoomScaleNormal="115" workbookViewId="0">
      <selection activeCell="C5" sqref="C5:C19"/>
    </sheetView>
  </sheetViews>
  <sheetFormatPr defaultRowHeight="15" x14ac:dyDescent="0.25"/>
  <cols>
    <col min="1" max="1" width="55.85546875" bestFit="1" customWidth="1"/>
    <col min="2" max="2" width="13.7109375" customWidth="1"/>
    <col min="3" max="3" width="12.5703125" customWidth="1"/>
    <col min="4" max="4" width="13.28515625" customWidth="1"/>
    <col min="11" max="11" width="24" bestFit="1" customWidth="1"/>
  </cols>
  <sheetData>
    <row r="1" spans="1:13" ht="18.75" x14ac:dyDescent="0.3">
      <c r="A1" s="3" t="s">
        <v>41</v>
      </c>
    </row>
    <row r="2" spans="1:13" s="1" customFormat="1" x14ac:dyDescent="0.25">
      <c r="B2" s="13" t="s">
        <v>46</v>
      </c>
      <c r="C2" s="14"/>
      <c r="D2" s="14"/>
    </row>
    <row r="3" spans="1:13" s="1" customFormat="1" ht="30" x14ac:dyDescent="0.25">
      <c r="A3" s="4" t="s">
        <v>12</v>
      </c>
      <c r="B3" s="5" t="s">
        <v>13</v>
      </c>
      <c r="C3" s="5" t="s">
        <v>14</v>
      </c>
      <c r="D3" s="5" t="s">
        <v>30</v>
      </c>
    </row>
    <row r="4" spans="1:13" s="1" customFormat="1" x14ac:dyDescent="0.25">
      <c r="A4" s="4"/>
      <c r="B4" s="12" t="s">
        <v>33</v>
      </c>
      <c r="C4" s="12" t="s">
        <v>33</v>
      </c>
      <c r="D4" s="12" t="s">
        <v>34</v>
      </c>
    </row>
    <row r="5" spans="1:13" ht="15.75" x14ac:dyDescent="0.25">
      <c r="A5" s="6" t="s">
        <v>17</v>
      </c>
      <c r="B5" s="7" t="s">
        <v>8</v>
      </c>
      <c r="C5" s="7" t="s">
        <v>16</v>
      </c>
      <c r="D5">
        <f t="shared" ref="D5:D19" si="0">VLOOKUP(B5,$L$7:$M$9,2,FALSE)*VLOOKUP(C5,$L$11:$M$13,2,FALSE)</f>
        <v>1.0000000000000002E-2</v>
      </c>
    </row>
    <row r="6" spans="1:13" ht="15.75" x14ac:dyDescent="0.25">
      <c r="A6" s="6" t="s">
        <v>18</v>
      </c>
      <c r="B6" s="7" t="s">
        <v>8</v>
      </c>
      <c r="C6" s="7" t="s">
        <v>16</v>
      </c>
      <c r="D6">
        <f t="shared" si="0"/>
        <v>1.0000000000000002E-2</v>
      </c>
    </row>
    <row r="7" spans="1:13" ht="15.75" x14ac:dyDescent="0.25">
      <c r="A7" s="6" t="s">
        <v>19</v>
      </c>
      <c r="B7" s="7" t="s">
        <v>8</v>
      </c>
      <c r="C7" s="7" t="s">
        <v>16</v>
      </c>
      <c r="D7">
        <f t="shared" si="0"/>
        <v>1.0000000000000002E-2</v>
      </c>
      <c r="K7" t="s">
        <v>0</v>
      </c>
      <c r="L7" t="s">
        <v>7</v>
      </c>
      <c r="M7">
        <f>Score!E14</f>
        <v>1</v>
      </c>
    </row>
    <row r="8" spans="1:13" ht="15.75" x14ac:dyDescent="0.25">
      <c r="A8" s="6" t="s">
        <v>20</v>
      </c>
      <c r="B8" s="7" t="s">
        <v>8</v>
      </c>
      <c r="C8" s="7" t="s">
        <v>16</v>
      </c>
      <c r="D8">
        <f t="shared" si="0"/>
        <v>1.0000000000000002E-2</v>
      </c>
      <c r="K8" t="s">
        <v>1</v>
      </c>
      <c r="L8" t="s">
        <v>9</v>
      </c>
      <c r="M8">
        <f>Score!E15</f>
        <v>0.5</v>
      </c>
    </row>
    <row r="9" spans="1:13" ht="15.75" x14ac:dyDescent="0.25">
      <c r="A9" s="6" t="s">
        <v>21</v>
      </c>
      <c r="B9" s="7" t="s">
        <v>8</v>
      </c>
      <c r="C9" s="7" t="s">
        <v>16</v>
      </c>
      <c r="D9">
        <f t="shared" si="0"/>
        <v>1.0000000000000002E-2</v>
      </c>
      <c r="K9" t="s">
        <v>2</v>
      </c>
      <c r="L9" t="s">
        <v>8</v>
      </c>
      <c r="M9">
        <f>Score!E16</f>
        <v>0.1</v>
      </c>
    </row>
    <row r="10" spans="1:13" ht="16.5" customHeight="1" x14ac:dyDescent="0.25">
      <c r="A10" s="6" t="s">
        <v>22</v>
      </c>
      <c r="B10" s="7" t="s">
        <v>8</v>
      </c>
      <c r="C10" s="7" t="s">
        <v>16</v>
      </c>
      <c r="D10">
        <f t="shared" si="0"/>
        <v>1.0000000000000002E-2</v>
      </c>
    </row>
    <row r="11" spans="1:13" ht="15.75" x14ac:dyDescent="0.25">
      <c r="A11" s="6" t="s">
        <v>23</v>
      </c>
      <c r="B11" s="7" t="s">
        <v>8</v>
      </c>
      <c r="C11" s="7" t="s">
        <v>16</v>
      </c>
      <c r="D11">
        <f t="shared" si="0"/>
        <v>1.0000000000000002E-2</v>
      </c>
      <c r="K11" t="s">
        <v>3</v>
      </c>
      <c r="L11" t="s">
        <v>15</v>
      </c>
      <c r="M11">
        <f>Score!E18</f>
        <v>1</v>
      </c>
    </row>
    <row r="12" spans="1:13" ht="15.75" x14ac:dyDescent="0.25">
      <c r="A12" s="6" t="s">
        <v>24</v>
      </c>
      <c r="B12" s="7" t="s">
        <v>8</v>
      </c>
      <c r="C12" s="7" t="s">
        <v>16</v>
      </c>
      <c r="D12">
        <f t="shared" si="0"/>
        <v>1.0000000000000002E-2</v>
      </c>
      <c r="K12" t="s">
        <v>65</v>
      </c>
      <c r="L12" t="s">
        <v>73</v>
      </c>
      <c r="M12">
        <f>Score!E19</f>
        <v>0.5</v>
      </c>
    </row>
    <row r="13" spans="1:13" ht="15.75" x14ac:dyDescent="0.25">
      <c r="A13" s="6" t="s">
        <v>25</v>
      </c>
      <c r="B13" s="7" t="s">
        <v>8</v>
      </c>
      <c r="C13" s="7" t="s">
        <v>16</v>
      </c>
      <c r="D13">
        <f t="shared" si="0"/>
        <v>1.0000000000000002E-2</v>
      </c>
      <c r="K13" t="s">
        <v>4</v>
      </c>
      <c r="L13" t="s">
        <v>16</v>
      </c>
      <c r="M13">
        <f>Score!E20</f>
        <v>0.1</v>
      </c>
    </row>
    <row r="14" spans="1:13" ht="15.75" x14ac:dyDescent="0.25">
      <c r="A14" s="6" t="s">
        <v>26</v>
      </c>
      <c r="B14" s="7" t="s">
        <v>8</v>
      </c>
      <c r="C14" s="7" t="s">
        <v>16</v>
      </c>
      <c r="D14">
        <f t="shared" si="0"/>
        <v>1.0000000000000002E-2</v>
      </c>
    </row>
    <row r="15" spans="1:13" ht="15.75" x14ac:dyDescent="0.25">
      <c r="A15" s="6" t="s">
        <v>27</v>
      </c>
      <c r="B15" s="7" t="s">
        <v>8</v>
      </c>
      <c r="C15" s="7" t="s">
        <v>16</v>
      </c>
      <c r="D15">
        <f t="shared" si="0"/>
        <v>1.0000000000000002E-2</v>
      </c>
    </row>
    <row r="16" spans="1:13" ht="15.75" x14ac:dyDescent="0.25">
      <c r="A16" s="6" t="s">
        <v>28</v>
      </c>
      <c r="B16" s="7" t="s">
        <v>8</v>
      </c>
      <c r="C16" s="7" t="s">
        <v>16</v>
      </c>
      <c r="D16">
        <f t="shared" si="0"/>
        <v>1.0000000000000002E-2</v>
      </c>
    </row>
    <row r="17" spans="1:4" ht="15.75" x14ac:dyDescent="0.25">
      <c r="A17" s="6" t="s">
        <v>10</v>
      </c>
      <c r="B17" s="7" t="s">
        <v>7</v>
      </c>
      <c r="C17" s="7" t="s">
        <v>15</v>
      </c>
      <c r="D17">
        <f t="shared" si="0"/>
        <v>1</v>
      </c>
    </row>
    <row r="18" spans="1:4" ht="15.75" x14ac:dyDescent="0.25">
      <c r="A18" s="6" t="s">
        <v>11</v>
      </c>
      <c r="B18" s="7" t="s">
        <v>8</v>
      </c>
      <c r="C18" s="7" t="s">
        <v>16</v>
      </c>
      <c r="D18">
        <f t="shared" si="0"/>
        <v>1.0000000000000002E-2</v>
      </c>
    </row>
    <row r="19" spans="1:4" ht="15.75" x14ac:dyDescent="0.25">
      <c r="A19" s="6" t="s">
        <v>29</v>
      </c>
      <c r="B19" s="7" t="s">
        <v>7</v>
      </c>
      <c r="C19" s="7" t="s">
        <v>15</v>
      </c>
      <c r="D19">
        <f t="shared" si="0"/>
        <v>1</v>
      </c>
    </row>
    <row r="20" spans="1:4" x14ac:dyDescent="0.25">
      <c r="C20" s="10" t="s">
        <v>35</v>
      </c>
      <c r="D20" s="11">
        <f>SUM(D5:D19)</f>
        <v>2.13</v>
      </c>
    </row>
  </sheetData>
  <conditionalFormatting sqref="B5:B19">
    <cfRule type="expression" dxfId="8" priority="4">
      <formula>B5="D"</formula>
    </cfRule>
    <cfRule type="expression" dxfId="7" priority="5">
      <formula>B5="I"</formula>
    </cfRule>
    <cfRule type="expression" dxfId="6" priority="6">
      <formula>B5="N"</formula>
    </cfRule>
  </conditionalFormatting>
  <conditionalFormatting sqref="C5:C19">
    <cfRule type="expression" dxfId="5" priority="2">
      <formula>C5="CD"</formula>
    </cfRule>
    <cfRule type="expression" dxfId="4" priority="3">
      <formula>C5="R"</formula>
    </cfRule>
  </conditionalFormatting>
  <conditionalFormatting sqref="C5:C20">
    <cfRule type="expression" dxfId="3" priority="1">
      <formula>C5="C"</formula>
    </cfRule>
  </conditionalFormatting>
  <conditionalFormatting sqref="D5:D19">
    <cfRule type="colorScale" priority="118">
      <colorScale>
        <cfvo type="min"/>
        <cfvo type="percentile" val="50"/>
        <cfvo type="max"/>
        <color rgb="FFF8696B"/>
        <color rgb="FFFFEB84"/>
        <color rgb="FF63BE7B"/>
      </colorScale>
    </cfRule>
  </conditionalFormatting>
  <conditionalFormatting sqref="E7:E9 C20">
    <cfRule type="expression" dxfId="2" priority="9">
      <formula>C7="S"</formula>
    </cfRule>
    <cfRule type="expression" dxfId="1" priority="10">
      <formula>C7="R"</formula>
    </cfRule>
  </conditionalFormatting>
  <conditionalFormatting sqref="E7:E9">
    <cfRule type="expression" dxfId="0" priority="8">
      <formula>E7="C"</formula>
    </cfRule>
  </conditionalFormatting>
  <dataValidations count="3">
    <dataValidation allowBlank="1" sqref="D5:D19" xr:uid="{D2D38595-894B-4BDD-AFFC-F3CD0A8BDCCD}"/>
    <dataValidation type="list" allowBlank="1" sqref="B5:B19" xr:uid="{30EBBBC7-2E43-4280-9269-BAB131C3C3C7}">
      <formula1>$L$7:$L$9</formula1>
    </dataValidation>
    <dataValidation type="list" allowBlank="1" sqref="C5:C19" xr:uid="{A963E7F1-A9FB-45E0-9AC0-EE34AAF3E9C3}">
      <formula1>$L$11:$L$13</formula1>
    </dataValidation>
  </dataValidations>
  <pageMargins left="0.75" right="0.75" top="1" bottom="1" header="0.5" footer="0.5"/>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9AAEF4D584AA4A9EA65E175D94333C" ma:contentTypeVersion="13" ma:contentTypeDescription="Create a new document." ma:contentTypeScope="" ma:versionID="19e2b9843ca88f851965d64f9b369b1b">
  <xsd:schema xmlns:xsd="http://www.w3.org/2001/XMLSchema" xmlns:xs="http://www.w3.org/2001/XMLSchema" xmlns:p="http://schemas.microsoft.com/office/2006/metadata/properties" xmlns:ns2="d05db09f-8a2c-4258-8a75-47a1515983ff" xmlns:ns3="43ccd64e-69b8-4e29-9547-c09289680468" targetNamespace="http://schemas.microsoft.com/office/2006/metadata/properties" ma:root="true" ma:fieldsID="08418edd0ca35abc814edd24e7526acc" ns2:_="" ns3:_="">
    <xsd:import namespace="d05db09f-8a2c-4258-8a75-47a1515983ff"/>
    <xsd:import namespace="43ccd64e-69b8-4e29-9547-c092896804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LengthInSeconds"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5db09f-8a2c-4258-8a75-47a1515983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c74720-cc4a-4f7c-9b5e-ac3ea0606711"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3ccd64e-69b8-4e29-9547-c092896804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d602a0a-4e19-467d-ae51-ce86143ed386}" ma:internalName="TaxCatchAll" ma:showField="CatchAllData" ma:web="43ccd64e-69b8-4e29-9547-c092896804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05db09f-8a2c-4258-8a75-47a1515983ff">
      <Terms xmlns="http://schemas.microsoft.com/office/infopath/2007/PartnerControls"/>
    </lcf76f155ced4ddcb4097134ff3c332f>
    <TaxCatchAll xmlns="43ccd64e-69b8-4e29-9547-c09289680468" xsi:nil="true"/>
  </documentManagement>
</p:properties>
</file>

<file path=customXml/itemProps1.xml><?xml version="1.0" encoding="utf-8"?>
<ds:datastoreItem xmlns:ds="http://schemas.openxmlformats.org/officeDocument/2006/customXml" ds:itemID="{EC8E3239-079D-48E9-ADEF-80CECA8632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5db09f-8a2c-4258-8a75-47a1515983ff"/>
    <ds:schemaRef ds:uri="43ccd64e-69b8-4e29-9547-c092896804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73A07D-9ABC-4A24-A78C-4375BAB76D97}">
  <ds:schemaRefs>
    <ds:schemaRef ds:uri="http://schemas.microsoft.com/sharepoint/v3/contenttype/forms"/>
  </ds:schemaRefs>
</ds:datastoreItem>
</file>

<file path=customXml/itemProps3.xml><?xml version="1.0" encoding="utf-8"?>
<ds:datastoreItem xmlns:ds="http://schemas.openxmlformats.org/officeDocument/2006/customXml" ds:itemID="{9F1ECC2E-1A65-40FA-8BF6-6F16E2EAC721}">
  <ds:schemaRefs>
    <ds:schemaRef ds:uri="http://schemas.microsoft.com/office/2006/metadata/properties"/>
    <ds:schemaRef ds:uri="http://schemas.microsoft.com/office/infopath/2007/PartnerControls"/>
    <ds:schemaRef ds:uri="d05db09f-8a2c-4258-8a75-47a1515983ff"/>
    <ds:schemaRef ds:uri="43ccd64e-69b8-4e29-9547-c092896804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Action Type Definitions</vt:lpstr>
      <vt:lpstr>Template</vt:lpstr>
      <vt:lpstr>Score</vt:lpstr>
      <vt:lpstr>Summary</vt:lpstr>
      <vt:lpstr>1 - Protect</vt:lpstr>
      <vt:lpstr>2 - Inst. Complexity</vt:lpstr>
      <vt:lpstr>3 - Floodplain</vt:lpstr>
      <vt:lpstr>4 - Riparian Veg</vt:lpstr>
      <vt:lpstr>5 - Fish Passage</vt:lpstr>
      <vt:lpstr>6 - Instream Flow</vt:lpstr>
      <vt:lpstr>7 - Thermal Refuge</vt:lpstr>
      <vt:lpstr>8 - WQ Imp</vt:lpstr>
      <vt:lpstr>9 - Nutrient Enh</vt:lpstr>
      <vt:lpstr>10 - Upland</vt:lpstr>
      <vt:lpstr>11 - Species Manage.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Legg</dc:creator>
  <cp:lastModifiedBy>Alex Landy</cp:lastModifiedBy>
  <dcterms:created xsi:type="dcterms:W3CDTF">2026-05-17T16:51:18Z</dcterms:created>
  <dcterms:modified xsi:type="dcterms:W3CDTF">2026-08-18T18:48:01Z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0x010100FF9AAEF4D584AA4A9EA65E175D94333C</vt:lpwstr>
  </property>
  <property fmtid="{D5CDD505-2E9C-101B-9397-08002B2CF9AE}" pid="3" name="MediaServiceImageTags">
    <vt:lpwstr/>
  </property>
</Properties>
</file>